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50" windowHeight="10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86158</author>
  </authors>
  <commentList>
    <comment ref="P39" authorId="0">
      <text>
        <r>
          <rPr>
            <b/>
            <sz val="9"/>
            <rFont val="宋体"/>
            <charset val="134"/>
          </rPr>
          <t>86158:</t>
        </r>
        <r>
          <rPr>
            <sz val="9"/>
            <rFont val="宋体"/>
            <charset val="134"/>
          </rPr>
          <t xml:space="preserve">
wind数据缺失，由同花顺数据库补充。1.27亿新加坡元，按2023.12.31汇率转换为人民币。</t>
        </r>
      </text>
    </comment>
  </commentList>
</comments>
</file>

<file path=xl/sharedStrings.xml><?xml version="1.0" encoding="utf-8"?>
<sst xmlns="http://schemas.openxmlformats.org/spreadsheetml/2006/main" count="830" uniqueCount="265">
  <si>
    <t>销售收入</t>
  </si>
  <si>
    <t>税后利润</t>
  </si>
  <si>
    <t>归母净利润</t>
  </si>
  <si>
    <t>市盈率PE(TTM)</t>
  </si>
  <si>
    <t>归母净利率</t>
  </si>
  <si>
    <t>股息率</t>
  </si>
  <si>
    <t>年度现金分红比例</t>
  </si>
  <si>
    <t>证券代码</t>
  </si>
  <si>
    <t>名称</t>
  </si>
  <si>
    <t>公司中文名称</t>
  </si>
  <si>
    <t>上市日期</t>
  </si>
  <si>
    <t>主营业务</t>
  </si>
  <si>
    <t>所属Wind行业</t>
  </si>
  <si>
    <t>所属行业(HS)</t>
  </si>
  <si>
    <t>3年cagr</t>
  </si>
  <si>
    <t>归母利润3年cagr</t>
  </si>
  <si>
    <t>6715.HK</t>
  </si>
  <si>
    <t>鲟龙科技</t>
  </si>
  <si>
    <t>杭州千岛湖鲟龙科技股份有限公司</t>
  </si>
  <si>
    <t>公司是全球最大的鱼子酱企业。公司自2015年以来连续10年实现鱼子酱销量全球第一名。</t>
  </si>
  <si>
    <t>食品饮料</t>
  </si>
  <si>
    <t>(HS)食物饮品</t>
  </si>
  <si>
    <t>/</t>
  </si>
  <si>
    <t>6658.HK</t>
  </si>
  <si>
    <t>溜溜梅</t>
  </si>
  <si>
    <t>溜溜梅股份有限公司</t>
  </si>
  <si>
    <t>食品生产(包括以青梅为原料的果酒,食品,饮料的生产;水果和坚果加工;果蔬汁及果蔬汁饮料制造;果浆,果酱制造;果冻,糕点,糖果巧克力制品,藻类制品,水果干制品,蔬菜干制品,调味品,发酵制品,蔬菜制品(酱腌菜)的生产,加工;初级农产品销售;预包装食品(含冷藏冷冻食品)销售;文化用品,工艺品(除文物)销售;经济果蔬类农产品种植;梅种苗,梅资源谱研发;自营和代理各类商品和技术的进出口业务(国家限定公司经营或禁止进出口的商品和技术除外).(依法须经批准的项目,经相关部门批准后方可开展经营活动)</t>
  </si>
  <si>
    <t>2290.HK</t>
  </si>
  <si>
    <t>龙丰集团</t>
  </si>
  <si>
    <t>龙丰集团控股有限公司</t>
  </si>
  <si>
    <t>药品、保健品、护肤品、化妆品、香水、个人护理品、母婴产品、食品、宠物食品及家居日用品等</t>
  </si>
  <si>
    <t>日常消费零售</t>
  </si>
  <si>
    <t>(HS)专业零售</t>
  </si>
  <si>
    <t>0664.HK</t>
  </si>
  <si>
    <t>铜师傅</t>
  </si>
  <si>
    <t>杭州铜师傅文创(集团)股份有限公司</t>
  </si>
  <si>
    <t>一般项目:工艺美术品及礼仪用品制造(象牙及其制品除外);工艺美术品及收藏品批发(象牙及其制品除外);工艺美术品及收藏品零售(象牙及其制品除外);知识产权服务;文具制造;文具用品批发;文具用品零售;体育用品及器材制造;体育用品及器材批发;体育用品及器材零售;珠宝首饰制造;互联网销售(除销售需要许可的商品);货物进出口(除依法须经批准的项目外,凭营业执照依法自主开展经营活动)。</t>
  </si>
  <si>
    <t>耐用消费品</t>
  </si>
  <si>
    <t>(HS)家庭电器及用品</t>
  </si>
  <si>
    <t>2720.HK</t>
  </si>
  <si>
    <t>乐欣户外</t>
  </si>
  <si>
    <t>乐欣户外国际有限公司</t>
  </si>
  <si>
    <t>(i)床椅及其他配件，如钓鱼椅、钓鱼床、鱼竿支架、钓鱼推车及钓鱼箱；(ii)包袋，如单肩包、钓鱼渔包及鱼竿包；及(iii)帐篷，如渔具篷、社交篷及遮阳篷。</t>
  </si>
  <si>
    <t>9980.HK</t>
  </si>
  <si>
    <t>东鹏饮料</t>
  </si>
  <si>
    <t>东鹏饮料(集团)股份有限公司</t>
  </si>
  <si>
    <t>食品机械及包装材料的销售与技术咨询;房屋租赁;电子商务平台技术开发和系统开发,电子政务系统开发;信息传输,软件和信息技术服务;计算机软件,信息系统软件的开发,销售;信息系统设计,集成,运行维护;信息技术咨询;集成电路设计,研发;企业管理咨询(不含限制项目);信息化解决方案开发与应用;高可信计算,智能网络,移动互联网,物联网等技术与应用;基于网络的软件服务平台技术开发,软件的开发,测试服务;信息系统集成,技术咨询.(以上各项涉及法律,行政法规,国务院决定禁止的项目除外,限制的项目须取得许可后方可经营);国内贸易(不含专营,专卖,专控商品);经营进出口业务(法律,行政法规,国务院决定禁止的项目除外,限制的项目须取得许可后方可经营).预包装食品(不含复热预包装食品)批发(饮料,无酒精饮料,包装饮用水);保健食品(限东鹏特饮)批发;普通货运;饮料,无酒精饮料,包装饮用水生产与销售.生产,销售:保健食品,饮料(凭许可证在有效期内经营,具体项目以审批部门批准的为准);酒,精致茶;生产,加工:饮料包装容器;生产,销售瓶(桶)装引用水类(饮用纯净水);生产销售其他饮料(营养素饮料);数据挖掘,数据分析与数据服务;互联网数字内容开发;中药有效成份的提取,纯化及销售.</t>
  </si>
  <si>
    <t>1768.HK</t>
  </si>
  <si>
    <t>鸣鸣很忙</t>
  </si>
  <si>
    <t>湖南鸣鸣很忙商业连锁股份有限公司</t>
  </si>
  <si>
    <t>成熟且稳步发展的食品饮料零售商。</t>
  </si>
  <si>
    <t>可选消费零售</t>
  </si>
  <si>
    <t>2657.HK</t>
  </si>
  <si>
    <t>林清轩</t>
  </si>
  <si>
    <t>上海林清轩化妆品集团股份有限公司</t>
  </si>
  <si>
    <t>技术服务、技术开发、技术咨询、技术交流、技术转让、技术推广;货物进出口、技术进出口;日用化学产品制造;第二类医疗器械销售;化妆品批发、化妆品零售;日用化学产品销售;日用百货销售</t>
  </si>
  <si>
    <t>家庭用品</t>
  </si>
  <si>
    <t>(HS)其他医疗保健</t>
  </si>
  <si>
    <t>2695.HK</t>
  </si>
  <si>
    <t>印象大红袍</t>
  </si>
  <si>
    <t>印象大红袍股份有限公司</t>
  </si>
  <si>
    <t>许可项目：营业性演出；演出经纪；演出场所经营；旅游业务。(依法须经批准的项目，经相关部门批准后方可开展经营活动，具体经营项目以相关部门批准文件或许可证为准)一般项目：其他文化艺术经纪代理；组织文化艺术交流活动；票务代理服务；以自有资金从事投资活动；旅游开发项目策划咨询；游览景区管理；非居住房地产租赁；住房租赁。(除依法须经批准的项目外，凭营业执照依法自主开展经营活动)</t>
  </si>
  <si>
    <t>传媒</t>
  </si>
  <si>
    <t>(HS)旅游及消闲设施</t>
  </si>
  <si>
    <t>7618.HK</t>
  </si>
  <si>
    <t>京东工业</t>
  </si>
  <si>
    <t>京东工业股份有限公司</t>
  </si>
  <si>
    <t>机械设备销售；电子产品销售；珠宝首饰批发；珠宝首饰零售；钟表销售；针纺织品销售；照相机及器材销售；仪器仪表销售；通讯设备销售；消防器材销售；橡胶制品销售；五金产品零售；五金产品批发；文具用品批发；文具用品零售；体育用品及器材批发；体育用品及器材零售；日用品销售；化肥销售；汽车零配件批发；汽车零配件零售；礼品花卉销售；金属制品销售；金属材料销售；建筑材料销售；建筑装饰材料销售；家用电器销售；家具销售；计算机软硬件及辅助设备批发；计算机软硬件及辅助设备零售；化工产品销售（不含许可类化工产品）；化妆品批发；化妆品零售；服装服饰批发；服装服饰零售；电子元器件批发；电子元器件零售</t>
  </si>
  <si>
    <t>(HS)工用支援</t>
  </si>
  <si>
    <t>2408.HK</t>
  </si>
  <si>
    <t>遇见小面</t>
  </si>
  <si>
    <t>广州遇见小面餐饮股份有限公司</t>
  </si>
  <si>
    <t>外卖递送服务;餐饮管理;咨询策划服务;信息咨询服务(不含许可类信息咨询服务);文具用品零售;食用农产品零售;水产品零售;工艺美术品及收藏品零售(象牙及其制品除外);鲜肉零售;化妆品零售;厨具卫具及日用杂品零售;珠宝首饰零售;日用家电零售;计算机软硬件及辅助设备零售;食品添加剂销售;互联网销售(除销售需要许可的商品);工艺美术品及礼仪用品制造(象牙及其制品除外);单用途商业预付卡代理销售;非居住房地产租赁;物业管理;日用品销售;日用杂品销售;服装辅料销售;服装服饰零售;鲜蛋零售;新鲜水果零售;新鲜蔬菜零售;电子产品销售;日用玻璃制品销售;家具销售;玩具销售;体育用品及器材零售;个人卫生用品销售;灯具销售;供应链管理服务;企业管理;小餐饮(仅限分支机构经营);餐饮服务(仅限分支机构经营);小餐饮,小食杂,食品小作坊经营(仅限分支机构经营);药品零售;食品互联网销售(销售预包装食品);食品互联网销售;食品经营(销售预包装食品);食品经营;酒类经营</t>
  </si>
  <si>
    <t>消费者服务</t>
  </si>
  <si>
    <t>2539.HK</t>
  </si>
  <si>
    <t>乐摩科技</t>
  </si>
  <si>
    <t>乐摩科技服务股份有限公司</t>
  </si>
  <si>
    <t>物联网、电子产品、计算机软硬件的技术开发、技术转让、技术服务；图文设计；游戏产品设计；计算机系统集成、计算机网络工程设计、施工；互联网信息服务、商务信息咨询；公关活动策划；企业形象策划；市场营销策划；自有设备租赁；会务及展览展示服务；健身器材、玩具销售、租赁；电子产品生产；电子产品、金属制品、塑料制品、电脑耗材、办公设备的批发及网上经营；设计、发布、代理国内各类广告；自营和代理各类商品和技术的进出口，但国家限定公司经营或禁止进出口的商品和技术除外。(依法须经批准的项目，经相关部门批准后方可开展经营活动)</t>
  </si>
  <si>
    <t>2698.HK</t>
  </si>
  <si>
    <t>乐舒适</t>
  </si>
  <si>
    <t>乐舒适有限公司</t>
  </si>
  <si>
    <t>婴儿纸尿裤、婴儿拉拉裤、卫生巾及湿巾等婴儿与女性卫生用品的开发、制造与销售</t>
  </si>
  <si>
    <t>(HS)消费者主要零售商</t>
  </si>
  <si>
    <t>6980.HK</t>
  </si>
  <si>
    <t>八马茶业</t>
  </si>
  <si>
    <t>八马茶业股份有限公司</t>
  </si>
  <si>
    <t>一般经营项目是：茶具、茶桌、展示柜的销售；陶瓷产品的批发兼零售；生活日用品的批发兼零售；日用家电批发兼零售；服装服饰的批发、零售；兴办实业(具体项目另行申报)；企业管理咨询(不含证券咨询、人才中介服务和其它限制项目)；文化活动策划；房屋租赁；自有物业租赁；物业管理服务；项目投资(不含限制项目)；投资咨询(不含限制项目)；化妆品的批发、零售；在网上从事商贸活动(法律、行政法规、国务院决定禁止的项目除外，限制的项目须取得许可后方可经营)；货物或技术进出口。(以上法律、行政法规、国务院决定禁止的项目除外，限制的项目须取得许可后方可经营，依法须经批准的项目须取得许可后方可经营)，许可经营项目是：茶叶的批发兼零售；冰激凌制售；预包装食品(不含复热预包装食品)批发兼零售；茶饮料的批发兼零售；即溶茶批发兼零售；固体饮料批发兼零售；茶馆服务；咖啡馆服务；冷饮服务；文艺创作、表演；信息服务业务(仅限互联网信息服务业务)；保健品的批发兼零售。</t>
  </si>
  <si>
    <t>2583.HK</t>
  </si>
  <si>
    <t>西普尼</t>
  </si>
  <si>
    <t>深圳西普尼精密科技股份有限公司</t>
  </si>
  <si>
    <t>黄金手表、K金手表、铂金手表、白银手表、贵金属手表、珠宝镶嵌手表、钟表、贵金属智能电子穿戴设备、黄金制品、铂金、K金、珠宝首饰的研发、设计与销售、硬质黄金制品、硬质黄金混合料的研发；软件的技术开发及销售；国内贸易(不含专营、专卖、专控商品)；经营进出口业务；机芯、表壳、表链、钟表配件的研发及销售；礼品、工艺品的购销；手表维修；品牌加盟管理；品牌促销及营销策划；智能戒指、电子产品的研发及销售；健康咨询服务(须经审批的诊疗活动除外)、健康管理咨询(不含医疗行为)、计算机软件、信息系统软件的研发与销售、运行维护；软件信息技术咨询</t>
  </si>
  <si>
    <t>家电Ⅱ</t>
  </si>
  <si>
    <t>(HS)纺织及服饰</t>
  </si>
  <si>
    <t>6090.HK</t>
  </si>
  <si>
    <t>不同集团</t>
  </si>
  <si>
    <t>通过对用户的前瞻洞察和前沿材料、工艺及技术的创新应用，为家庭多生活场景创造具有独特用户价值的产品。</t>
  </si>
  <si>
    <t>2543.HK</t>
  </si>
  <si>
    <t>大行科工</t>
  </si>
  <si>
    <t>大行科工(深圳)股份有限公司</t>
  </si>
  <si>
    <t>一般经营项目是：销售五金制品、自行车、童车、电动自行车、电动滑板车及其零配件、交通工具、新型环保节能用品、检测仪器设备、防疫保健辅助用品（不含医疗器械）；依托第三方平台开展自行车与电动自行车及其零配件的销售；佣金代理(拍卖除外)；从事五金制品、自行车、童车、电动自行车、电动滑板车及其零配件、新型环保节能用品及机器设备、交通工具、检测仪器设备、防疫保健辅助用品（不含医疗器械）的批发及进出口业务（法律、行政法规、国务院决定禁止的项目除外，限制的项目须取得许可后方可经营）；设立研发机构，研究和开发新型自行车、电动自行车、电动滑板车、新型环保节能用品、高轻性能材质结构件、管材组合工艺与配套模治具、防疫保健辅助用品及相关技术成果授权转让。</t>
  </si>
  <si>
    <t>2648.HK</t>
  </si>
  <si>
    <t>安井食品</t>
  </si>
  <si>
    <t>安井食品集团股份有限公司</t>
  </si>
  <si>
    <t>食品生产.(依法须经批准的项目,经相关部门批准后方可开展经营活动,具体经营项目以相关部门批准文件或许可证件为准)一般项目:肉制品及副产品加工(3000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</si>
  <si>
    <t>6603.HK</t>
  </si>
  <si>
    <t>IFBH</t>
  </si>
  <si>
    <t>IFBH Limited</t>
  </si>
  <si>
    <t>公司主要从事即食饮料和食品业务，以“if”和“Innococo”两大泰国品牌为核心，产品涵盖天然椰子水饮料、其他健康饮品及植物基零食，主要在中国大陆、香港运营，并拓展至新加坡、中国台湾及其他国际市场。</t>
  </si>
  <si>
    <t>2508.HK</t>
  </si>
  <si>
    <t>圣贝拉集团</t>
  </si>
  <si>
    <t>圣贝拉集团有限公司</t>
  </si>
  <si>
    <t>公司是中国领先的产后护理和修复集团，公司还提供家庭护理服务和满足女性需求的食品。</t>
  </si>
  <si>
    <t>(HS)支援服务</t>
  </si>
  <si>
    <t>6168.HK</t>
  </si>
  <si>
    <t>周六福</t>
  </si>
  <si>
    <t>周六福珠宝股份有限公司</t>
  </si>
  <si>
    <t>贵金属首饰、镶嵌首饰、珠宝玉石首饰设计、批发、零售、进出口;珠宝玉器、铂金镶嵌饰品、钻石镶嵌饰品、翡翠饰品购销;品牌策划、珠宝技术开发与技术服务;企业管理咨询（不含人才中介服务、证券、期货、保险、金融业务及其他限制项目）;投资兴办实业（具体项目另行申报）;国内贸易，从事货物及技术的进出口业务（法律、行政法规、国务院决定规定在登记前须经批准的项目除外）;钟表与计时仪器制造、销售</t>
  </si>
  <si>
    <t>6883.HK</t>
  </si>
  <si>
    <t>颖通控股</t>
  </si>
  <si>
    <t>颖通控股有限公司</t>
  </si>
  <si>
    <t>香水，还包括彩妆、护肤品、个人护理产品、眼镜及家居香氛。</t>
  </si>
  <si>
    <t>3288.HK</t>
  </si>
  <si>
    <t>海天味业</t>
  </si>
  <si>
    <t>佛山市海天调味食品股份有限公司</t>
  </si>
  <si>
    <t>生产经营调味品,豆制品,食品,饮料,包装材料;农副产品的加工;其他电信服务;货物,技术进出口(国家禁止或涉及行政审批的货物和技术进出口除外);信息咨询服务;食品互联网销售;批发兼零售预包装食品.</t>
  </si>
  <si>
    <t>2603.HK</t>
  </si>
  <si>
    <t>吉宏股份</t>
  </si>
  <si>
    <t>厦门吉宏科技股份有限公司</t>
  </si>
  <si>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</si>
  <si>
    <t>6831.HK</t>
  </si>
  <si>
    <t>绿茶集团</t>
  </si>
  <si>
    <t>绿茶集团有限公司</t>
  </si>
  <si>
    <t>公司以适宜的价格提供创新及优质美食以及受中国传统艺术启发的精致装修,为客户提供出众的用餐体验并创造客户价值.</t>
  </si>
  <si>
    <t>2589.HK</t>
  </si>
  <si>
    <t>沪上阿姨</t>
  </si>
  <si>
    <t>沪上阿姨(上海)实业股份有限公司</t>
  </si>
  <si>
    <t>现制饮品公司</t>
  </si>
  <si>
    <t>2625.HK</t>
  </si>
  <si>
    <t>江苏宏信</t>
  </si>
  <si>
    <t>江苏宏信超市连锁股份有限公司</t>
  </si>
  <si>
    <t>公司的超市提供全面的日常消费品(大致可分为生鲜,粮油,副食及家居用品),以满足客户的日常需求,而公司的便利店每天营业16或24小时,以满足快速购买日常消费品的需求.在连锁店管理方面,公司采用「四个统一」,包括标准化的品牌形象及店铺设计,集中采购,集中存货控制及配送以及零售店铺的统一管理.该等统一措施使我们能够从规模经济中获益,精简运营,并为顾客提供可预测的购物体验.鉴于电子商务在中国日益普及,于往绩记录期间,公司为公司的零售店铺设立两个小程序「龙会易购」及「宏信龙当日达」.公司于商城销售时装及服装,童装,化妆品及个人护理产品,珠宝,配饰,鞋类,家电,消费电子产品,酒及杂货.公司致力于提供全面的商品,以满足人们对时尚产品的需求.此外,公司营运小程序「江都商城」,在线销售在公司商城提供的产品.公司亦与三个第三方电子商务平台(即抖音,京东及微信)合作,在线向客户销售商品.就公司的零售业务而言,公司(i)通过于零售店铺及商城向消费者一般销售以及(ii)向客户(包括企业及政府实体)进行大宗销售获得.公司亦于零售店铺及商城收取授权销售款项,并向品牌专柜收取销售总额或协定的销售目标(以较高者为准)的一定比例作为佣金.除公司的零售业务外,公司亦将零售店铺及商城的部分店面面积或店面租赁予餐厅,酒店及药房等其他零售运营商并收取租金收入.</t>
  </si>
  <si>
    <t>2569.HK</t>
  </si>
  <si>
    <t>舒宝国际</t>
  </si>
  <si>
    <t>舒宝国际集团有限公司</t>
  </si>
  <si>
    <t>公司主要在中国从事个人一次性使用卫生用品开发,生产及销售,专注于欧亚大陆新兴市场的婴童护理类用品.</t>
  </si>
  <si>
    <t>2097.HK</t>
  </si>
  <si>
    <t>蜜雪集团</t>
  </si>
  <si>
    <t>蜜雪冰城股份有限公司</t>
  </si>
  <si>
    <t>领先的现制饮品企业，生产现制果饮、茶饮、冰淇淋和咖啡等产品。</t>
  </si>
  <si>
    <t>1364.HK</t>
  </si>
  <si>
    <t>古茗</t>
  </si>
  <si>
    <t>古茗控股有限公司</t>
  </si>
  <si>
    <t>中国现制饮品企业,致力于向消费者提供新鲜美味,出品一致,价格亲民的高质量产品.</t>
  </si>
  <si>
    <t>0325.HK</t>
  </si>
  <si>
    <t>布鲁可</t>
  </si>
  <si>
    <t>布鲁可集团有限公司</t>
  </si>
  <si>
    <t>公司是中国拼搭角色类玩具的领导者.</t>
  </si>
  <si>
    <t>0999.HK</t>
  </si>
  <si>
    <t>小菜园</t>
  </si>
  <si>
    <t>小菜园国际控股有限公司</t>
  </si>
  <si>
    <t>中式餐饮</t>
  </si>
  <si>
    <t>2593.HK</t>
  </si>
  <si>
    <t>草姬集团</t>
  </si>
  <si>
    <t>草姬集团控股有限公司</t>
  </si>
  <si>
    <t>本公司是立足香港,稳健可信的多元化保健品及美容与护肤品供应商.</t>
  </si>
  <si>
    <t>穿零</t>
  </si>
  <si>
    <t>1318.HK</t>
  </si>
  <si>
    <t>毛戈平</t>
  </si>
  <si>
    <t>毛戈平化妆品股份有限公司</t>
  </si>
  <si>
    <t>批发,零售:化妆品,化妆用品,美容器械,日用百货,日用化学品,文化用品,塑料制品,箱包,皮革制品与照明器材;服务:化妆品的技术开发,技术咨询,技术服务,化妆形象设计,成年人非证书劳动职业技能培训(涉及前置审批的项目除外),经济信息咨询(除证券,期货),企业形象策划;其他无需报经审批的一切合法项目(依法须经批准的项目,经相关部门批准后方可开展经营活动).</t>
  </si>
  <si>
    <t>2585.HK</t>
  </si>
  <si>
    <t>梦金园</t>
  </si>
  <si>
    <t>梦金园黄金珠宝集团股份有限公司</t>
  </si>
  <si>
    <t>一般项目:珠宝首饰批发;珠宝首饰零售;金银制品销售;工艺美术品及礼仪用品制造(象牙及其制品除外);珠宝首饰制造;住房租赁;停车场服务.许可项目:货物进出口.</t>
  </si>
  <si>
    <t>纺织服装Ⅱ</t>
  </si>
  <si>
    <t>2519.HK</t>
  </si>
  <si>
    <t>傲基股份</t>
  </si>
  <si>
    <t>傲基(深圳)跨境商务股份有限公司</t>
  </si>
  <si>
    <t>公司是专注于提供优质家具家居类产品的线上零售商。凭藉稳健的供应链管理及有效的物流解决方案，为消费者提供广泛「家与生活」场景下的愉快生活体验。</t>
  </si>
  <si>
    <t>2562.HK</t>
  </si>
  <si>
    <t>狮腾控股</t>
  </si>
  <si>
    <t>狮腾控股有限公司</t>
  </si>
  <si>
    <t>公司主要从事投资控股业务，并通过子公司Synagie在东南亚运营一个数据驱动的平台，为高端美容保健、时尚服装、生活方式及健康领域的品牌提供全套数字解决方案。公司业务覆盖东南亚六大主要经济体——新加坡、马来西亚、菲律宾、越南、泰国及印尼，并拓展至香港及西班牙。</t>
  </si>
  <si>
    <t>均亏损</t>
  </si>
  <si>
    <t>2460.HK</t>
  </si>
  <si>
    <t>华润饮料</t>
  </si>
  <si>
    <t>华润饮料(控股)有限公司</t>
  </si>
  <si>
    <t>以饮用纯净水产品的成功为根基,通过丰富水种,拓展产品规格,不断丰富包装饮用水产品矩阵,覆盖包括外出,居家,商务,餐饮,运动等多种消费场景.</t>
  </si>
  <si>
    <t>2549.HK</t>
  </si>
  <si>
    <t>卡罗特</t>
  </si>
  <si>
    <t>卡罗特(商业)有限公司</t>
  </si>
  <si>
    <t>线上厨具细分领域.</t>
  </si>
  <si>
    <t>6181.HK</t>
  </si>
  <si>
    <t>老铺黄金</t>
  </si>
  <si>
    <t>老铺黄金股份有限公司</t>
  </si>
  <si>
    <t>组织文化艺术交流;承办展览展示;工艺美术设计;产品设计;销售金银制品,珠宝首饰,工艺品;非物质文化遗产保护.(企业依法自主选择经营项目,开展经营活动;依法须经批准的项目,经相关部门批准后依批准的内容开展经营活动;不得从事本市产业政策禁止和限制类项目的经营活动.)</t>
  </si>
  <si>
    <t>2555.HK</t>
  </si>
  <si>
    <t>茶百道</t>
  </si>
  <si>
    <t>四川百茶百道实业股份有限公司</t>
  </si>
  <si>
    <t>茶饮</t>
  </si>
  <si>
    <t>2497.HK</t>
  </si>
  <si>
    <t>富景中国控股</t>
  </si>
  <si>
    <t>富景中国控股有限公司</t>
  </si>
  <si>
    <t>公司是山东省最大的盆栽蔬菜农产品生产商.</t>
  </si>
  <si>
    <t>(HS)农业产品</t>
  </si>
  <si>
    <t>2536.HK</t>
  </si>
  <si>
    <t>百乐皇宫</t>
  </si>
  <si>
    <t>百乐皇宫控股有限公司</t>
  </si>
  <si>
    <t>本公司是集娱乐、博彩及休闲于一身的集团。</t>
  </si>
  <si>
    <t>数据分布说明：</t>
  </si>
  <si>
    <t>3年CAGR（营收）</t>
  </si>
  <si>
    <t>归母3年CAGR</t>
  </si>
  <si>
    <t>销售收入（万元）</t>
  </si>
  <si>
    <t>税后利润（万元）</t>
  </si>
  <si>
    <t>归母净利润（万元）</t>
  </si>
  <si>
    <t>市盈率PE(TTM)（倍）</t>
  </si>
  <si>
    <t>归母净利率（%）</t>
  </si>
  <si>
    <t>股息率（%）</t>
  </si>
  <si>
    <t>年度现金分红比例（%）</t>
  </si>
  <si>
    <t>1. 区间采用左闭右开 [a, b) 表示法；最后一档为 [a, +∞)；负值区间为 (-∞, 0)</t>
  </si>
  <si>
    <t>区间</t>
  </si>
  <si>
    <t>最新</t>
  </si>
  <si>
    <t>2025</t>
  </si>
  <si>
    <t>2024</t>
  </si>
  <si>
    <t>2023</t>
  </si>
  <si>
    <t>2022</t>
  </si>
  <si>
    <t>2021</t>
  </si>
  <si>
    <t>2. "无数据" = COUNTA(名称列) - COUNT(数据列)，即非数值单元格（含"/"及空白）</t>
  </si>
  <si>
    <t>无数据</t>
  </si>
  <si>
    <t>3. 占比 = 区间企业数 / 全部企业总数（COUNTA($B$3:$B$45)），各区间占比之和应为100%</t>
  </si>
  <si>
    <t>(-∞, 0%)</t>
  </si>
  <si>
    <t>[0, 10亿)</t>
  </si>
  <si>
    <t>(-∞, 0)</t>
  </si>
  <si>
    <t>[0%, 2%)</t>
  </si>
  <si>
    <t>[0%, 30%)</t>
  </si>
  <si>
    <t>4. 营收/利润单位为万元（10亿=100000万，1亿=10000万）；PE单位为倍；百分比指标以小数存储</t>
  </si>
  <si>
    <t>[0%, 10%)</t>
  </si>
  <si>
    <t>[10亿, 50亿)</t>
  </si>
  <si>
    <t>[0, 1亿)</t>
  </si>
  <si>
    <t>[0, 10倍)</t>
  </si>
  <si>
    <t>[0%, 5%)</t>
  </si>
  <si>
    <t>[2%, 5%)</t>
  </si>
  <si>
    <t>[30%, 50%)</t>
  </si>
  <si>
    <t>[10%, 20%)</t>
  </si>
  <si>
    <t>[50亿, 100亿)</t>
  </si>
  <si>
    <t>[1亿, 5亿)</t>
  </si>
  <si>
    <t>[10倍, 20倍)</t>
  </si>
  <si>
    <t>[5%, 10%)</t>
  </si>
  <si>
    <t>[5%, +∞)</t>
  </si>
  <si>
    <t>[50%, 80%)</t>
  </si>
  <si>
    <t>[20%, 30%)</t>
  </si>
  <si>
    <t>[100亿, 500亿)</t>
  </si>
  <si>
    <t>[5亿, 10亿)</t>
  </si>
  <si>
    <t>[20倍, 50倍)</t>
  </si>
  <si>
    <t>[10%, 15%)</t>
  </si>
  <si>
    <t>合计</t>
  </si>
  <si>
    <t>[80%, +∞)</t>
  </si>
  <si>
    <t>[500亿, +∞)</t>
  </si>
  <si>
    <t>[50倍, 100倍)</t>
  </si>
  <si>
    <t>[15%, 20%)</t>
  </si>
  <si>
    <t>占比</t>
  </si>
  <si>
    <t>[50%, +∞)</t>
  </si>
  <si>
    <t>[50亿, +∞)</t>
  </si>
  <si>
    <t>[100倍, +∞)</t>
  </si>
  <si>
    <t>[20%,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</si>
</sst>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0"/>
      <color rgb="FF000000"/>
      <name val="Arial"/>
      <charset val="134"/>
    </font>
    <font>
      <sz val="12"/>
      <color rgb="FF000000"/>
      <name val="Calibri"/>
      <charset val="134"/>
    </font>
    <font>
      <b/>
      <sz val="10"/>
      <color rgb="FF000000"/>
      <name val="宋体"/>
      <charset val="134"/>
      <scheme val="minor"/>
    </font>
    <font>
      <b/>
      <sz val="10"/>
      <color rgb="FF000000"/>
      <name val="宋体"/>
      <charset val="134"/>
    </font>
    <font>
      <sz val="12"/>
      <color theme="1"/>
      <name val="宋体"/>
      <charset val="134"/>
    </font>
    <font>
      <sz val="12"/>
      <color theme="1"/>
      <name val="Calibri"/>
      <charset val="134"/>
    </font>
    <font>
      <sz val="10"/>
      <color rgb="FF000000"/>
      <name val="Arial"/>
      <charset val="134"/>
    </font>
    <font>
      <sz val="10"/>
      <color rgb="FFFF0000"/>
      <name val="Arial"/>
      <charset val="134"/>
    </font>
    <font>
      <sz val="12"/>
      <name val="Calibri"/>
      <charset val="134"/>
    </font>
    <font>
      <b/>
      <sz val="10"/>
      <name val="宋体"/>
      <charset val="134"/>
      <scheme val="minor"/>
    </font>
    <font>
      <b/>
      <sz val="11"/>
      <color rgb="FFFFFFFF"/>
      <name val="宋体"/>
      <charset val="134"/>
      <scheme val="minor"/>
    </font>
    <font>
      <sz val="9"/>
      <name val="宋体"/>
      <charset val="134"/>
      <scheme val="minor"/>
    </font>
    <font>
      <sz val="10"/>
      <name val="宋体"/>
      <charset val="134"/>
      <scheme val="minor"/>
    </font>
    <font>
      <b/>
      <sz val="10"/>
      <color rgb="FF4472C4"/>
      <name val="宋体"/>
      <charset val="134"/>
      <scheme val="minor"/>
    </font>
    <font>
      <sz val="10"/>
      <color rgb="FF4472C4"/>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1">
    <fill>
      <patternFill patternType="none"/>
    </fill>
    <fill>
      <patternFill patternType="gray125"/>
    </fill>
    <fill>
      <patternFill patternType="solid">
        <fgColor rgb="FFFFFFFF"/>
        <bgColor indexed="64"/>
      </patternFill>
    </fill>
    <fill>
      <patternFill patternType="solid">
        <fgColor rgb="FFEBF1DE"/>
        <bgColor indexed="64"/>
      </patternFill>
    </fill>
    <fill>
      <patternFill patternType="solid">
        <fgColor rgb="FFECE2FE"/>
        <bgColor indexed="64"/>
      </patternFill>
    </fill>
    <fill>
      <patternFill patternType="solid">
        <fgColor rgb="FFE1EAFF"/>
        <bgColor indexed="64"/>
      </patternFill>
    </fill>
    <fill>
      <patternFill patternType="solid">
        <fgColor rgb="FFFAF1D1"/>
        <bgColor indexed="64"/>
      </patternFill>
    </fill>
    <fill>
      <patternFill patternType="solid">
        <fgColor rgb="FF4472C4"/>
        <bgColor rgb="FF4472C4"/>
      </patternFill>
    </fill>
    <fill>
      <patternFill patternType="solid">
        <fgColor rgb="FFD6E4F0"/>
        <bgColor rgb="FFD6E4F0"/>
      </patternFill>
    </fill>
    <fill>
      <patternFill patternType="solid">
        <fgColor rgb="FFE2EFDA"/>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auto="1"/>
      </right>
      <top style="thin">
        <color auto="1"/>
      </top>
      <bottom style="thin">
        <color auto="1"/>
      </bottom>
      <diagonal/>
    </border>
    <border>
      <left style="thin">
        <color rgb="FFDEE0E3"/>
      </left>
      <right style="thin">
        <color rgb="FF1F2329"/>
      </right>
      <top style="thin">
        <color rgb="FF1F2329"/>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DEE0E3"/>
      </top>
      <bottom style="thin">
        <color rgb="FF1F2329"/>
      </bottom>
      <diagonal/>
    </border>
    <border>
      <left style="thin">
        <color rgb="FF1F2329"/>
      </left>
      <right style="thin">
        <color rgb="FF1F2329"/>
      </right>
      <top style="thin">
        <color auto="1"/>
      </top>
      <bottom style="thin">
        <color rgb="FF1F2329"/>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6" fillId="0" borderId="0">
      <alignment vertical="center"/>
    </xf>
    <xf numFmtId="0" fontId="17" fillId="0" borderId="0">
      <alignment vertical="center"/>
    </xf>
    <xf numFmtId="0" fontId="0" fillId="10" borderId="13">
      <alignment vertical="center"/>
    </xf>
    <xf numFmtId="0" fontId="18" fillId="0" borderId="0">
      <alignment vertical="center"/>
    </xf>
    <xf numFmtId="0" fontId="19" fillId="0" borderId="0">
      <alignment vertical="center"/>
    </xf>
    <xf numFmtId="0" fontId="20" fillId="0" borderId="0">
      <alignment vertical="center"/>
    </xf>
    <xf numFmtId="0" fontId="21" fillId="0" borderId="14">
      <alignment vertical="center"/>
    </xf>
    <xf numFmtId="0" fontId="22" fillId="0" borderId="14">
      <alignment vertical="center"/>
    </xf>
    <xf numFmtId="0" fontId="23" fillId="0" borderId="15">
      <alignment vertical="center"/>
    </xf>
    <xf numFmtId="0" fontId="23" fillId="0" borderId="0">
      <alignment vertical="center"/>
    </xf>
    <xf numFmtId="0" fontId="24" fillId="11" borderId="16">
      <alignment vertical="center"/>
    </xf>
    <xf numFmtId="0" fontId="25" fillId="12" borderId="17">
      <alignment vertical="center"/>
    </xf>
    <xf numFmtId="0" fontId="26" fillId="12" borderId="16">
      <alignment vertical="center"/>
    </xf>
    <xf numFmtId="0" fontId="27" fillId="13" borderId="18">
      <alignment vertical="center"/>
    </xf>
    <xf numFmtId="0" fontId="28" fillId="0" borderId="19">
      <alignment vertical="center"/>
    </xf>
    <xf numFmtId="0" fontId="29" fillId="0" borderId="20">
      <alignment vertical="center"/>
    </xf>
    <xf numFmtId="0" fontId="30" fillId="14" borderId="0">
      <alignment vertical="center"/>
    </xf>
    <xf numFmtId="0" fontId="31" fillId="15" borderId="0">
      <alignment vertical="center"/>
    </xf>
    <xf numFmtId="0" fontId="32" fillId="16" borderId="0">
      <alignment vertical="center"/>
    </xf>
    <xf numFmtId="0" fontId="33" fillId="17" borderId="0">
      <alignment vertical="center"/>
    </xf>
    <xf numFmtId="0" fontId="34" fillId="18" borderId="0">
      <alignment vertical="center"/>
    </xf>
    <xf numFmtId="0" fontId="34" fillId="19" borderId="0">
      <alignment vertical="center"/>
    </xf>
    <xf numFmtId="0" fontId="33" fillId="20" borderId="0">
      <alignment vertical="center"/>
    </xf>
    <xf numFmtId="0" fontId="33" fillId="21" borderId="0">
      <alignment vertical="center"/>
    </xf>
    <xf numFmtId="0" fontId="34" fillId="22" borderId="0">
      <alignment vertical="center"/>
    </xf>
    <xf numFmtId="0" fontId="34" fillId="23" borderId="0">
      <alignment vertical="center"/>
    </xf>
    <xf numFmtId="0" fontId="33" fillId="24" borderId="0">
      <alignment vertical="center"/>
    </xf>
    <xf numFmtId="0" fontId="33" fillId="25" borderId="0">
      <alignment vertical="center"/>
    </xf>
    <xf numFmtId="0" fontId="34" fillId="26" borderId="0">
      <alignment vertical="center"/>
    </xf>
    <xf numFmtId="0" fontId="34" fillId="27" borderId="0">
      <alignment vertical="center"/>
    </xf>
    <xf numFmtId="0" fontId="33" fillId="28" borderId="0">
      <alignment vertical="center"/>
    </xf>
    <xf numFmtId="0" fontId="33" fillId="29" borderId="0">
      <alignment vertical="center"/>
    </xf>
    <xf numFmtId="0" fontId="34" fillId="30" borderId="0">
      <alignment vertical="center"/>
    </xf>
    <xf numFmtId="0" fontId="34" fillId="31" borderId="0">
      <alignment vertical="center"/>
    </xf>
    <xf numFmtId="0" fontId="33" fillId="32" borderId="0">
      <alignment vertical="center"/>
    </xf>
    <xf numFmtId="0" fontId="33" fillId="33" borderId="0">
      <alignment vertical="center"/>
    </xf>
    <xf numFmtId="0" fontId="34" fillId="34" borderId="0">
      <alignment vertical="center"/>
    </xf>
    <xf numFmtId="0" fontId="34" fillId="35" borderId="0">
      <alignment vertical="center"/>
    </xf>
    <xf numFmtId="0" fontId="33" fillId="36" borderId="0">
      <alignment vertical="center"/>
    </xf>
    <xf numFmtId="0" fontId="33" fillId="37" borderId="0">
      <alignment vertical="center"/>
    </xf>
    <xf numFmtId="0" fontId="34" fillId="38" borderId="0">
      <alignment vertical="center"/>
    </xf>
    <xf numFmtId="0" fontId="34" fillId="39" borderId="0">
      <alignment vertical="center"/>
    </xf>
    <xf numFmtId="0" fontId="33" fillId="40" borderId="0">
      <alignment vertical="center"/>
    </xf>
  </cellStyleXfs>
  <cellXfs count="52">
    <xf numFmtId="0" fontId="0" fillId="0" borderId="0" xfId="0" applyAlignment="1">
      <alignment vertic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0" fontId="1" fillId="2" borderId="3" xfId="0" applyFont="1" applyFill="1" applyBorder="1" applyAlignment="1">
      <alignment horizontal="center" vertical="center"/>
    </xf>
    <xf numFmtId="0" fontId="0" fillId="0" borderId="4" xfId="0" applyBorder="1" applyAlignment="1"/>
    <xf numFmtId="0" fontId="0" fillId="0" borderId="5" xfId="0" applyBorder="1" applyAlignment="1"/>
    <xf numFmtId="0" fontId="1" fillId="4" borderId="6" xfId="0" applyFont="1" applyFill="1" applyBorder="1" applyAlignment="1">
      <alignment horizontal="center" vertical="center"/>
    </xf>
    <xf numFmtId="0" fontId="1" fillId="2" borderId="6" xfId="0" applyFont="1" applyFill="1" applyBorder="1" applyAlignment="1">
      <alignment horizontal="center" vertical="center"/>
    </xf>
    <xf numFmtId="0" fontId="3" fillId="5" borderId="6" xfId="0" applyFont="1" applyFill="1" applyBorder="1" applyAlignment="1">
      <alignment horizontal="center" vertical="center"/>
    </xf>
    <xf numFmtId="0" fontId="1" fillId="0" borderId="6" xfId="0" applyFont="1" applyBorder="1" applyAlignment="1">
      <alignment horizontal="center" vertical="center"/>
    </xf>
    <xf numFmtId="0" fontId="1" fillId="6" borderId="6" xfId="0" applyFont="1" applyFill="1" applyBorder="1" applyAlignment="1">
      <alignment horizontal="center" vertical="center"/>
    </xf>
    <xf numFmtId="0" fontId="0" fillId="0" borderId="0" xfId="0" applyAlignment="1"/>
    <xf numFmtId="0" fontId="1" fillId="2" borderId="7"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6" xfId="0" applyFont="1" applyFill="1" applyBorder="1" applyAlignment="1">
      <alignment horizontal="center"/>
    </xf>
    <xf numFmtId="0" fontId="4" fillId="2" borderId="6" xfId="0" applyFont="1" applyFill="1" applyBorder="1" applyAlignment="1">
      <alignment horizontal="center"/>
    </xf>
    <xf numFmtId="0" fontId="1" fillId="4" borderId="6" xfId="0" applyFont="1" applyFill="1" applyBorder="1" applyAlignment="1">
      <alignment horizontal="center"/>
    </xf>
    <xf numFmtId="0" fontId="4" fillId="4" borderId="6" xfId="0" applyFont="1" applyFill="1" applyBorder="1" applyAlignment="1">
      <alignment horizontal="center"/>
    </xf>
    <xf numFmtId="14" fontId="4" fillId="5" borderId="6" xfId="0" applyNumberFormat="1" applyFont="1" applyFill="1" applyBorder="1" applyAlignment="1">
      <alignment horizontal="center" vertical="center"/>
    </xf>
    <xf numFmtId="14" fontId="1" fillId="5" borderId="6" xfId="0" applyNumberFormat="1" applyFont="1" applyFill="1" applyBorder="1" applyAlignment="1">
      <alignment horizontal="center" vertical="center"/>
    </xf>
    <xf numFmtId="0" fontId="1" fillId="2" borderId="0" xfId="0" applyFont="1" applyFill="1" applyAlignment="1">
      <alignment horizontal="center" vertical="center"/>
    </xf>
    <xf numFmtId="0" fontId="5" fillId="0" borderId="6" xfId="0" applyFont="1" applyBorder="1" applyAlignment="1">
      <alignment horizontal="left"/>
    </xf>
    <xf numFmtId="14" fontId="5" fillId="0" borderId="6" xfId="0" applyNumberFormat="1" applyFont="1" applyBorder="1" applyAlignment="1">
      <alignment horizontal="left"/>
    </xf>
    <xf numFmtId="0" fontId="5" fillId="0" borderId="6" xfId="0" applyFont="1" applyBorder="1" applyAlignment="1">
      <alignment horizontal="left" vertical="center"/>
    </xf>
    <xf numFmtId="10" fontId="2" fillId="3" borderId="6" xfId="0" applyNumberFormat="1" applyFont="1" applyFill="1" applyBorder="1" applyAlignment="1">
      <alignment horizontal="center"/>
    </xf>
    <xf numFmtId="0" fontId="6" fillId="2" borderId="6" xfId="0" applyFont="1" applyFill="1" applyBorder="1" applyAlignment="1"/>
    <xf numFmtId="0" fontId="6" fillId="4" borderId="6" xfId="0" applyFont="1" applyFill="1" applyBorder="1" applyAlignment="1"/>
    <xf numFmtId="0" fontId="7" fillId="5" borderId="6" xfId="0" applyFont="1" applyFill="1" applyBorder="1" applyAlignment="1"/>
    <xf numFmtId="10" fontId="7" fillId="2" borderId="6" xfId="0" applyNumberFormat="1" applyFont="1" applyFill="1" applyBorder="1" applyAlignment="1"/>
    <xf numFmtId="0" fontId="7" fillId="6" borderId="6" xfId="0" applyFont="1" applyFill="1" applyBorder="1" applyAlignment="1"/>
    <xf numFmtId="0" fontId="7" fillId="2" borderId="6" xfId="0" applyFont="1" applyFill="1" applyBorder="1" applyAlignment="1"/>
    <xf numFmtId="0" fontId="7" fillId="2" borderId="0" xfId="0" applyFont="1" applyFill="1" applyAlignment="1"/>
    <xf numFmtId="0" fontId="2" fillId="3" borderId="6" xfId="0" applyFont="1" applyFill="1" applyBorder="1" applyAlignment="1">
      <alignment horizontal="center"/>
    </xf>
    <xf numFmtId="10" fontId="7" fillId="6" borderId="6" xfId="0" applyNumberFormat="1" applyFont="1" applyFill="1" applyBorder="1" applyAlignment="1"/>
    <xf numFmtId="0" fontId="8" fillId="0" borderId="1" xfId="0" applyFont="1" applyBorder="1" applyAlignment="1"/>
    <xf numFmtId="0" fontId="9" fillId="2" borderId="6" xfId="0" applyFont="1" applyFill="1" applyBorder="1" applyAlignment="1"/>
    <xf numFmtId="0" fontId="10" fillId="0" borderId="0" xfId="0" applyFont="1" applyAlignment="1">
      <alignment horizontal="left" vertical="center"/>
    </xf>
    <xf numFmtId="0" fontId="11" fillId="7" borderId="9" xfId="0"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2" fillId="0" borderId="0" xfId="0" applyFont="1" applyAlignment="1">
      <alignment horizontal="left" vertical="center"/>
    </xf>
    <xf numFmtId="0" fontId="10" fillId="8" borderId="12" xfId="0" applyFont="1" applyFill="1" applyBorder="1" applyAlignment="1">
      <alignment horizontal="center" vertical="center" wrapText="1"/>
    </xf>
    <xf numFmtId="0" fontId="13" fillId="0" borderId="12" xfId="0" applyFont="1" applyBorder="1" applyAlignment="1">
      <alignment horizontal="left" vertical="center" wrapText="1"/>
    </xf>
    <xf numFmtId="0" fontId="13" fillId="0" borderId="12" xfId="0" applyFont="1" applyBorder="1" applyAlignment="1">
      <alignment horizontal="center" vertical="center" wrapText="1"/>
    </xf>
    <xf numFmtId="0" fontId="10" fillId="9" borderId="12" xfId="0" applyFont="1" applyFill="1" applyBorder="1" applyAlignment="1">
      <alignment horizontal="center" vertical="center" wrapText="1"/>
    </xf>
    <xf numFmtId="0" fontId="14" fillId="8" borderId="12" xfId="0" applyFont="1" applyFill="1" applyBorder="1" applyAlignment="1">
      <alignment horizontal="center" vertical="center" wrapText="1"/>
    </xf>
    <xf numFmtId="10" fontId="15" fillId="0" borderId="12" xfId="0" applyNumberFormat="1" applyFont="1" applyBorder="1" applyAlignment="1">
      <alignment horizontal="center" vertical="center" wrapText="1"/>
    </xf>
    <xf numFmtId="10" fontId="10" fillId="9" borderId="12" xfId="0" applyNumberFormat="1" applyFont="1" applyFill="1" applyBorder="1" applyAlignment="1">
      <alignment horizontal="center" vertical="center" wrapText="1"/>
    </xf>
    <xf numFmtId="10" fontId="15" fillId="0" borderId="0" xfId="0" applyNumberFormat="1" applyFont="1" applyAlignment="1">
      <alignment horizontal="center" vertical="center" wrapText="1"/>
    </xf>
    <xf numFmtId="10" fontId="10" fillId="9" borderId="0" xfId="0" applyNumberFormat="1"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71"/>
  <sheetViews>
    <sheetView tabSelected="1" zoomScale="86" zoomScaleNormal="86" topLeftCell="A51" workbookViewId="0">
      <selection activeCell="E59" sqref="E59"/>
    </sheetView>
  </sheetViews>
  <sheetFormatPr defaultColWidth="8.72727272727273" defaultRowHeight="14"/>
  <cols>
    <col min="1" max="1" width="9.52727272727273" customWidth="1"/>
    <col min="6" max="6" width="27.5909090909091" customWidth="1"/>
    <col min="16" max="17" width="11.5454545454545"/>
    <col min="35" max="35" width="11.8181818181818" customWidth="1"/>
    <col min="36" max="37" width="10.7272727272727" customWidth="1"/>
  </cols>
  <sheetData>
    <row r="1" ht="15.5" customHeight="1" spans="1:53">
      <c r="A1" s="1"/>
      <c r="B1" s="1"/>
      <c r="C1" s="1"/>
      <c r="D1" s="1"/>
      <c r="E1" s="1"/>
      <c r="F1" s="1"/>
      <c r="G1" s="1"/>
      <c r="H1" s="2"/>
      <c r="I1" s="2"/>
      <c r="J1" s="2"/>
      <c r="K1" s="2"/>
      <c r="L1" s="3"/>
      <c r="M1" s="3"/>
      <c r="N1" s="4" t="s">
        <v>0</v>
      </c>
      <c r="O1" s="5"/>
      <c r="P1" s="5"/>
      <c r="Q1" s="5"/>
      <c r="R1" s="6"/>
      <c r="S1" s="6"/>
      <c r="T1" s="6"/>
      <c r="U1" s="7" t="s">
        <v>1</v>
      </c>
      <c r="V1" s="5"/>
      <c r="W1" s="5"/>
      <c r="X1" s="5"/>
      <c r="Y1" s="6"/>
      <c r="Z1" s="6"/>
      <c r="AA1" s="6"/>
      <c r="AB1" s="8" t="s">
        <v>2</v>
      </c>
      <c r="AC1" s="5"/>
      <c r="AD1" s="5"/>
      <c r="AE1" s="5"/>
      <c r="AF1" s="6"/>
      <c r="AG1" s="6"/>
      <c r="AH1" s="6"/>
      <c r="AI1" s="9" t="s">
        <v>3</v>
      </c>
      <c r="AJ1" s="5"/>
      <c r="AK1" s="6"/>
      <c r="AL1" s="6"/>
      <c r="AM1" s="6"/>
      <c r="AN1" s="10" t="s">
        <v>4</v>
      </c>
      <c r="AO1" s="5"/>
      <c r="AP1" s="6"/>
      <c r="AQ1" s="6"/>
      <c r="AR1" s="6"/>
      <c r="AS1" s="11" t="s">
        <v>5</v>
      </c>
      <c r="AT1" s="5"/>
      <c r="AU1" s="6"/>
      <c r="AV1" s="6"/>
      <c r="AW1" s="6"/>
      <c r="AX1" s="10" t="s">
        <v>6</v>
      </c>
      <c r="AY1" s="5"/>
      <c r="AZ1" s="6"/>
      <c r="BA1" s="12"/>
    </row>
    <row r="2" spans="1:53">
      <c r="A2" s="13" t="s">
        <v>7</v>
      </c>
      <c r="B2" s="13" t="s">
        <v>8</v>
      </c>
      <c r="C2" s="13" t="s">
        <v>9</v>
      </c>
      <c r="D2" s="13" t="s">
        <v>10</v>
      </c>
      <c r="E2" s="13" t="s">
        <v>11</v>
      </c>
      <c r="F2" s="13" t="s">
        <v>12</v>
      </c>
      <c r="G2" s="13" t="s">
        <v>13</v>
      </c>
      <c r="H2" s="14" t="s">
        <v>14</v>
      </c>
      <c r="I2" s="14"/>
      <c r="J2" s="14"/>
      <c r="K2" s="14" t="s">
        <v>15</v>
      </c>
      <c r="L2" s="15"/>
      <c r="M2" s="15"/>
      <c r="N2" s="16">
        <v>2025</v>
      </c>
      <c r="O2" s="17">
        <v>2024</v>
      </c>
      <c r="P2" s="16">
        <v>2023</v>
      </c>
      <c r="Q2" s="17">
        <v>2022</v>
      </c>
      <c r="R2" s="17">
        <v>2021</v>
      </c>
      <c r="S2" s="17"/>
      <c r="T2" s="17"/>
      <c r="U2" s="18">
        <v>2025</v>
      </c>
      <c r="V2" s="19">
        <v>2024</v>
      </c>
      <c r="W2" s="18">
        <v>2023</v>
      </c>
      <c r="X2" s="19">
        <v>2022</v>
      </c>
      <c r="Y2" s="19">
        <v>2021</v>
      </c>
      <c r="Z2" s="19"/>
      <c r="AA2" s="19"/>
      <c r="AB2" s="16">
        <v>2025</v>
      </c>
      <c r="AC2" s="16">
        <v>2024</v>
      </c>
      <c r="AD2" s="16">
        <v>2023</v>
      </c>
      <c r="AE2" s="17">
        <v>2022</v>
      </c>
      <c r="AF2" s="17">
        <v>2021</v>
      </c>
      <c r="AG2" s="17"/>
      <c r="AH2" s="17"/>
      <c r="AI2" s="20">
        <v>46022</v>
      </c>
      <c r="AJ2" s="21">
        <v>45657</v>
      </c>
      <c r="AK2" s="21">
        <v>45291</v>
      </c>
      <c r="AL2" s="21"/>
      <c r="AM2" s="21"/>
      <c r="AN2" s="8">
        <v>2025</v>
      </c>
      <c r="AO2" s="8">
        <v>2024</v>
      </c>
      <c r="AP2" s="8">
        <v>2023</v>
      </c>
      <c r="AQ2" s="8"/>
      <c r="AR2" s="8"/>
      <c r="AS2" s="11">
        <v>2025</v>
      </c>
      <c r="AT2" s="11">
        <v>2024</v>
      </c>
      <c r="AU2" s="11">
        <v>2023</v>
      </c>
      <c r="AV2" s="11"/>
      <c r="AW2" s="11"/>
      <c r="AX2" s="8">
        <v>2025</v>
      </c>
      <c r="AY2" s="8">
        <v>2024</v>
      </c>
      <c r="AZ2" s="8">
        <v>2023</v>
      </c>
      <c r="BA2" s="22"/>
    </row>
    <row r="3" ht="15.5" customHeight="1" spans="1:53">
      <c r="A3" s="23" t="s">
        <v>16</v>
      </c>
      <c r="B3" s="23" t="s">
        <v>17</v>
      </c>
      <c r="C3" s="23" t="s">
        <v>18</v>
      </c>
      <c r="D3" s="24">
        <v>46203</v>
      </c>
      <c r="E3" s="25" t="s">
        <v>19</v>
      </c>
      <c r="F3" s="23" t="s">
        <v>20</v>
      </c>
      <c r="G3" s="23" t="s">
        <v>21</v>
      </c>
      <c r="H3" s="26">
        <v>0.1613</v>
      </c>
      <c r="I3" s="26"/>
      <c r="J3" s="26"/>
      <c r="K3" s="26">
        <v>0.1649</v>
      </c>
      <c r="L3" s="26"/>
      <c r="M3" s="26"/>
      <c r="N3" s="27">
        <v>76900.6</v>
      </c>
      <c r="O3" s="27">
        <v>66929.3</v>
      </c>
      <c r="P3" s="27">
        <v>57724.1</v>
      </c>
      <c r="Q3" s="27">
        <v>49105.7</v>
      </c>
      <c r="R3" s="27">
        <v>40548.91</v>
      </c>
      <c r="S3" s="27"/>
      <c r="T3" s="27"/>
      <c r="U3" s="28">
        <v>36502.9</v>
      </c>
      <c r="V3" s="28">
        <v>32412.4</v>
      </c>
      <c r="W3" s="28">
        <v>27289.9</v>
      </c>
      <c r="X3" s="28">
        <v>23346.2</v>
      </c>
      <c r="Y3" s="28">
        <v>16283.04</v>
      </c>
      <c r="Z3" s="28"/>
      <c r="AA3" s="28"/>
      <c r="AB3" s="27">
        <v>36339.7</v>
      </c>
      <c r="AC3" s="27">
        <v>30841.7</v>
      </c>
      <c r="AD3" s="27">
        <v>27011.7</v>
      </c>
      <c r="AE3" s="27">
        <v>22990.2</v>
      </c>
      <c r="AF3" s="27">
        <v>16283.04</v>
      </c>
      <c r="AG3" s="27"/>
      <c r="AH3" s="27"/>
      <c r="AI3" s="29" t="s">
        <v>22</v>
      </c>
      <c r="AJ3" s="29" t="s">
        <v>22</v>
      </c>
      <c r="AK3" s="29" t="s">
        <v>22</v>
      </c>
      <c r="AL3" s="29"/>
      <c r="AM3" s="29"/>
      <c r="AN3" s="30">
        <v>0.4726</v>
      </c>
      <c r="AO3" s="30">
        <v>0.4608</v>
      </c>
      <c r="AP3" s="30">
        <v>0.4679</v>
      </c>
      <c r="AQ3" s="30"/>
      <c r="AR3" s="30"/>
      <c r="AS3" s="31" t="s">
        <v>22</v>
      </c>
      <c r="AT3" s="31" t="s">
        <v>22</v>
      </c>
      <c r="AU3" s="31" t="s">
        <v>22</v>
      </c>
      <c r="AV3" s="31"/>
      <c r="AW3" s="31"/>
      <c r="AX3" s="32" t="s">
        <v>22</v>
      </c>
      <c r="AY3" s="32" t="s">
        <v>22</v>
      </c>
      <c r="AZ3" s="32" t="s">
        <v>22</v>
      </c>
      <c r="BA3" s="33"/>
    </row>
    <row r="4" ht="15.5" customHeight="1" spans="1:53">
      <c r="A4" s="23" t="s">
        <v>23</v>
      </c>
      <c r="B4" s="23" t="s">
        <v>24</v>
      </c>
      <c r="C4" s="23" t="s">
        <v>25</v>
      </c>
      <c r="D4" s="24">
        <v>46188</v>
      </c>
      <c r="E4" s="25" t="s">
        <v>26</v>
      </c>
      <c r="F4" s="23" t="s">
        <v>20</v>
      </c>
      <c r="G4" s="23" t="s">
        <v>21</v>
      </c>
      <c r="H4" s="26">
        <v>0.1337</v>
      </c>
      <c r="I4" s="26"/>
      <c r="J4" s="26"/>
      <c r="K4" s="26">
        <v>0.3857</v>
      </c>
      <c r="L4" s="26"/>
      <c r="M4" s="26"/>
      <c r="N4" s="27">
        <v>171073.1</v>
      </c>
      <c r="O4" s="27">
        <v>161601.8</v>
      </c>
      <c r="P4" s="27">
        <v>132204.2</v>
      </c>
      <c r="Q4" s="27">
        <v>117404.6</v>
      </c>
      <c r="R4" s="27" t="s">
        <v>22</v>
      </c>
      <c r="S4" s="27"/>
      <c r="T4" s="27"/>
      <c r="U4" s="28">
        <v>18208.8</v>
      </c>
      <c r="V4" s="28">
        <v>14771.9</v>
      </c>
      <c r="W4" s="28">
        <v>9923.1</v>
      </c>
      <c r="X4" s="28">
        <v>6843.2</v>
      </c>
      <c r="Y4" s="28" t="s">
        <v>22</v>
      </c>
      <c r="Z4" s="28"/>
      <c r="AA4" s="28"/>
      <c r="AB4" s="27">
        <v>18208.8</v>
      </c>
      <c r="AC4" s="27">
        <v>14771.9</v>
      </c>
      <c r="AD4" s="27">
        <v>9923.1</v>
      </c>
      <c r="AE4" s="27">
        <v>6843.2</v>
      </c>
      <c r="AF4" s="27" t="s">
        <v>22</v>
      </c>
      <c r="AG4" s="27"/>
      <c r="AH4" s="27"/>
      <c r="AI4" s="29" t="s">
        <v>22</v>
      </c>
      <c r="AJ4" s="29" t="s">
        <v>22</v>
      </c>
      <c r="AK4" s="29" t="s">
        <v>22</v>
      </c>
      <c r="AL4" s="29"/>
      <c r="AM4" s="29"/>
      <c r="AN4" s="30">
        <v>0.1064</v>
      </c>
      <c r="AO4" s="30">
        <v>0.0914</v>
      </c>
      <c r="AP4" s="30">
        <v>0.0751</v>
      </c>
      <c r="AQ4" s="30"/>
      <c r="AR4" s="30"/>
      <c r="AS4" s="31" t="s">
        <v>22</v>
      </c>
      <c r="AT4" s="31" t="s">
        <v>22</v>
      </c>
      <c r="AU4" s="31" t="s">
        <v>22</v>
      </c>
      <c r="AV4" s="31"/>
      <c r="AW4" s="31"/>
      <c r="AX4" s="32" t="s">
        <v>22</v>
      </c>
      <c r="AY4" s="32" t="s">
        <v>22</v>
      </c>
      <c r="AZ4" s="32" t="s">
        <v>22</v>
      </c>
      <c r="BA4" s="33"/>
    </row>
    <row r="5" ht="15.5" customHeight="1" spans="1:53">
      <c r="A5" s="23" t="s">
        <v>27</v>
      </c>
      <c r="B5" s="23" t="s">
        <v>28</v>
      </c>
      <c r="C5" s="23" t="s">
        <v>29</v>
      </c>
      <c r="D5" s="24">
        <v>46178</v>
      </c>
      <c r="E5" s="25" t="s">
        <v>30</v>
      </c>
      <c r="F5" s="23" t="s">
        <v>31</v>
      </c>
      <c r="G5" s="23" t="s">
        <v>32</v>
      </c>
      <c r="H5" s="34" t="s">
        <v>22</v>
      </c>
      <c r="I5" s="34"/>
      <c r="J5" s="34"/>
      <c r="K5" s="34" t="s">
        <v>22</v>
      </c>
      <c r="L5" s="34"/>
      <c r="M5" s="34"/>
      <c r="N5" s="27">
        <v>227060.29</v>
      </c>
      <c r="O5" s="27">
        <v>183189.37</v>
      </c>
      <c r="P5" s="27">
        <v>95770.82</v>
      </c>
      <c r="Q5" s="27" t="s">
        <v>22</v>
      </c>
      <c r="R5" s="27" t="s">
        <v>22</v>
      </c>
      <c r="S5" s="27"/>
      <c r="T5" s="27"/>
      <c r="U5" s="28">
        <v>15727.98</v>
      </c>
      <c r="V5" s="28">
        <v>13102.91</v>
      </c>
      <c r="W5" s="28">
        <v>-2375.86</v>
      </c>
      <c r="X5" s="28" t="s">
        <v>22</v>
      </c>
      <c r="Y5" s="28" t="s">
        <v>22</v>
      </c>
      <c r="Z5" s="28"/>
      <c r="AA5" s="28"/>
      <c r="AB5" s="27">
        <v>15727.98</v>
      </c>
      <c r="AC5" s="27">
        <v>13102.91</v>
      </c>
      <c r="AD5" s="27">
        <v>-2375.86</v>
      </c>
      <c r="AE5" s="27" t="s">
        <v>22</v>
      </c>
      <c r="AF5" s="27" t="s">
        <v>22</v>
      </c>
      <c r="AG5" s="27"/>
      <c r="AH5" s="27"/>
      <c r="AI5" s="29" t="s">
        <v>22</v>
      </c>
      <c r="AJ5" s="29" t="s">
        <v>22</v>
      </c>
      <c r="AK5" s="29" t="s">
        <v>22</v>
      </c>
      <c r="AL5" s="29"/>
      <c r="AM5" s="29"/>
      <c r="AN5" s="30">
        <v>0.0693</v>
      </c>
      <c r="AO5" s="30">
        <v>0.0715</v>
      </c>
      <c r="AP5" s="30">
        <v>-0.0248</v>
      </c>
      <c r="AQ5" s="30"/>
      <c r="AR5" s="30"/>
      <c r="AS5" s="31" t="s">
        <v>22</v>
      </c>
      <c r="AT5" s="31" t="s">
        <v>22</v>
      </c>
      <c r="AU5" s="31" t="s">
        <v>22</v>
      </c>
      <c r="AV5" s="31"/>
      <c r="AW5" s="31"/>
      <c r="AX5" s="32" t="s">
        <v>22</v>
      </c>
      <c r="AY5" s="32" t="s">
        <v>22</v>
      </c>
      <c r="AZ5" s="32" t="s">
        <v>22</v>
      </c>
      <c r="BA5" s="33"/>
    </row>
    <row r="6" ht="15.5" customHeight="1" spans="1:53">
      <c r="A6" s="23" t="s">
        <v>33</v>
      </c>
      <c r="B6" s="23" t="s">
        <v>34</v>
      </c>
      <c r="C6" s="23" t="s">
        <v>35</v>
      </c>
      <c r="D6" s="24">
        <v>46112</v>
      </c>
      <c r="E6" s="25" t="s">
        <v>36</v>
      </c>
      <c r="F6" s="23" t="s">
        <v>37</v>
      </c>
      <c r="G6" s="23" t="s">
        <v>38</v>
      </c>
      <c r="H6" s="26">
        <v>0.0705</v>
      </c>
      <c r="I6" s="26"/>
      <c r="J6" s="26"/>
      <c r="K6" s="26">
        <v>-0.0564</v>
      </c>
      <c r="L6" s="26"/>
      <c r="M6" s="26"/>
      <c r="N6" s="27">
        <v>61733.7</v>
      </c>
      <c r="O6" s="27">
        <v>57118.8</v>
      </c>
      <c r="P6" s="27">
        <v>50638.3</v>
      </c>
      <c r="Q6" s="27">
        <v>50318.5</v>
      </c>
      <c r="R6" s="27" t="s">
        <v>22</v>
      </c>
      <c r="S6" s="27"/>
      <c r="T6" s="27"/>
      <c r="U6" s="28">
        <v>4783.8</v>
      </c>
      <c r="V6" s="28">
        <v>7898.2</v>
      </c>
      <c r="W6" s="28">
        <v>4413.1</v>
      </c>
      <c r="X6" s="28">
        <v>5693.8</v>
      </c>
      <c r="Y6" s="28" t="s">
        <v>22</v>
      </c>
      <c r="Z6" s="28"/>
      <c r="AA6" s="28"/>
      <c r="AB6" s="27">
        <v>4783.8</v>
      </c>
      <c r="AC6" s="27">
        <v>7898.2</v>
      </c>
      <c r="AD6" s="27">
        <v>4413.1</v>
      </c>
      <c r="AE6" s="27">
        <v>5693.8</v>
      </c>
      <c r="AF6" s="27" t="s">
        <v>22</v>
      </c>
      <c r="AG6" s="27"/>
      <c r="AH6" s="27"/>
      <c r="AI6" s="29" t="s">
        <v>22</v>
      </c>
      <c r="AJ6" s="29" t="s">
        <v>22</v>
      </c>
      <c r="AK6" s="29" t="s">
        <v>22</v>
      </c>
      <c r="AL6" s="29"/>
      <c r="AM6" s="29"/>
      <c r="AN6" s="30">
        <v>0.0775</v>
      </c>
      <c r="AO6" s="30">
        <v>0.1383</v>
      </c>
      <c r="AP6" s="30">
        <v>0.0871</v>
      </c>
      <c r="AQ6" s="30"/>
      <c r="AR6" s="30"/>
      <c r="AS6" s="31" t="s">
        <v>22</v>
      </c>
      <c r="AT6" s="31" t="s">
        <v>22</v>
      </c>
      <c r="AU6" s="31" t="s">
        <v>22</v>
      </c>
      <c r="AV6" s="31"/>
      <c r="AW6" s="31"/>
      <c r="AX6" s="32" t="s">
        <v>22</v>
      </c>
      <c r="AY6" s="32" t="s">
        <v>22</v>
      </c>
      <c r="AZ6" s="32" t="s">
        <v>22</v>
      </c>
      <c r="BA6" s="33"/>
    </row>
    <row r="7" ht="15.5" customHeight="1" spans="1:53">
      <c r="A7" s="23" t="s">
        <v>39</v>
      </c>
      <c r="B7" s="23" t="s">
        <v>40</v>
      </c>
      <c r="C7" s="23" t="s">
        <v>41</v>
      </c>
      <c r="D7" s="24">
        <v>46063</v>
      </c>
      <c r="E7" s="25" t="s">
        <v>42</v>
      </c>
      <c r="F7" s="23" t="s">
        <v>37</v>
      </c>
      <c r="G7" s="23" t="s">
        <v>38</v>
      </c>
      <c r="H7" s="26">
        <v>-0.068</v>
      </c>
      <c r="I7" s="26"/>
      <c r="J7" s="26"/>
      <c r="K7" s="26">
        <v>-0.116</v>
      </c>
      <c r="L7" s="26"/>
      <c r="M7" s="26"/>
      <c r="N7" s="27">
        <v>66247.1</v>
      </c>
      <c r="O7" s="27">
        <v>57346.3</v>
      </c>
      <c r="P7" s="27">
        <v>46325.1</v>
      </c>
      <c r="Q7" s="27">
        <v>81841.2</v>
      </c>
      <c r="R7" s="27" t="s">
        <v>22</v>
      </c>
      <c r="S7" s="27"/>
      <c r="T7" s="27"/>
      <c r="U7" s="28">
        <v>7387.1</v>
      </c>
      <c r="V7" s="28">
        <v>5940.5</v>
      </c>
      <c r="W7" s="28">
        <v>4900.1</v>
      </c>
      <c r="X7" s="28">
        <v>11385.1</v>
      </c>
      <c r="Y7" s="28" t="s">
        <v>22</v>
      </c>
      <c r="Z7" s="28"/>
      <c r="AA7" s="28"/>
      <c r="AB7" s="27">
        <v>7387.1</v>
      </c>
      <c r="AC7" s="27">
        <v>5574.1</v>
      </c>
      <c r="AD7" s="27">
        <v>4597.3</v>
      </c>
      <c r="AE7" s="27">
        <v>10693.8</v>
      </c>
      <c r="AF7" s="27" t="s">
        <v>22</v>
      </c>
      <c r="AG7" s="27"/>
      <c r="AH7" s="27"/>
      <c r="AI7" s="29" t="s">
        <v>22</v>
      </c>
      <c r="AJ7" s="29" t="s">
        <v>22</v>
      </c>
      <c r="AK7" s="29" t="s">
        <v>22</v>
      </c>
      <c r="AL7" s="29"/>
      <c r="AM7" s="29"/>
      <c r="AN7" s="30">
        <v>0.1115</v>
      </c>
      <c r="AO7" s="30">
        <v>0.0972</v>
      </c>
      <c r="AP7" s="30">
        <v>0.0992</v>
      </c>
      <c r="AQ7" s="30"/>
      <c r="AR7" s="30"/>
      <c r="AS7" s="31" t="s">
        <v>22</v>
      </c>
      <c r="AT7" s="31" t="s">
        <v>22</v>
      </c>
      <c r="AU7" s="31" t="s">
        <v>22</v>
      </c>
      <c r="AV7" s="31"/>
      <c r="AW7" s="31"/>
      <c r="AX7" s="32" t="s">
        <v>22</v>
      </c>
      <c r="AY7" s="32" t="s">
        <v>22</v>
      </c>
      <c r="AZ7" s="32" t="s">
        <v>22</v>
      </c>
      <c r="BA7" s="33"/>
    </row>
    <row r="8" ht="15.5" customHeight="1" spans="1:53">
      <c r="A8" s="23" t="s">
        <v>43</v>
      </c>
      <c r="B8" s="23" t="s">
        <v>44</v>
      </c>
      <c r="C8" s="23" t="s">
        <v>45</v>
      </c>
      <c r="D8" s="24">
        <v>46056</v>
      </c>
      <c r="E8" s="25" t="s">
        <v>46</v>
      </c>
      <c r="F8" s="23" t="s">
        <v>20</v>
      </c>
      <c r="G8" s="23" t="s">
        <v>21</v>
      </c>
      <c r="H8" s="26">
        <v>0.349</v>
      </c>
      <c r="I8" s="26"/>
      <c r="J8" s="26"/>
      <c r="K8" s="26">
        <v>0.4526</v>
      </c>
      <c r="L8" s="26"/>
      <c r="M8" s="26"/>
      <c r="N8" s="27">
        <v>2086601.9</v>
      </c>
      <c r="O8" s="27">
        <v>1583033.6</v>
      </c>
      <c r="P8" s="27">
        <v>1125713.5</v>
      </c>
      <c r="Q8" s="27">
        <v>850002.3</v>
      </c>
      <c r="R8" s="27">
        <v>690101.2</v>
      </c>
      <c r="S8" s="27"/>
      <c r="T8" s="27"/>
      <c r="U8" s="28">
        <v>441401.8</v>
      </c>
      <c r="V8" s="28">
        <v>332643</v>
      </c>
      <c r="W8" s="28">
        <v>203977.2</v>
      </c>
      <c r="X8" s="28">
        <v>144052.1</v>
      </c>
      <c r="Y8" s="28">
        <v>119296.04</v>
      </c>
      <c r="Z8" s="28"/>
      <c r="AA8" s="28"/>
      <c r="AB8" s="27">
        <v>441526.3</v>
      </c>
      <c r="AC8" s="27">
        <v>332671</v>
      </c>
      <c r="AD8" s="27">
        <v>203977.2</v>
      </c>
      <c r="AE8" s="27">
        <v>144052.1</v>
      </c>
      <c r="AF8" s="27">
        <v>119296.04</v>
      </c>
      <c r="AG8" s="27"/>
      <c r="AH8" s="27"/>
      <c r="AI8" s="29" t="s">
        <v>22</v>
      </c>
      <c r="AJ8" s="29" t="s">
        <v>22</v>
      </c>
      <c r="AK8" s="29" t="s">
        <v>22</v>
      </c>
      <c r="AL8" s="29"/>
      <c r="AM8" s="29"/>
      <c r="AN8" s="30">
        <v>0.2116</v>
      </c>
      <c r="AO8" s="30">
        <v>0.2101</v>
      </c>
      <c r="AP8" s="30">
        <v>0.1812</v>
      </c>
      <c r="AQ8" s="30"/>
      <c r="AR8" s="30"/>
      <c r="AS8" s="31" t="s">
        <v>22</v>
      </c>
      <c r="AT8" s="31" t="s">
        <v>22</v>
      </c>
      <c r="AU8" s="31" t="s">
        <v>22</v>
      </c>
      <c r="AV8" s="31"/>
      <c r="AW8" s="31"/>
      <c r="AX8" s="30">
        <v>0.3273</v>
      </c>
      <c r="AY8" s="32" t="s">
        <v>22</v>
      </c>
      <c r="AZ8" s="32" t="s">
        <v>22</v>
      </c>
      <c r="BA8" s="33"/>
    </row>
    <row r="9" ht="15.5" customHeight="1" spans="1:53">
      <c r="A9" s="23" t="s">
        <v>47</v>
      </c>
      <c r="B9" s="23" t="s">
        <v>48</v>
      </c>
      <c r="C9" s="23" t="s">
        <v>49</v>
      </c>
      <c r="D9" s="24">
        <v>46050</v>
      </c>
      <c r="E9" s="25" t="s">
        <v>50</v>
      </c>
      <c r="F9" s="23" t="s">
        <v>51</v>
      </c>
      <c r="G9" s="23" t="s">
        <v>21</v>
      </c>
      <c r="H9" s="26">
        <v>1.4901</v>
      </c>
      <c r="I9" s="26"/>
      <c r="J9" s="26"/>
      <c r="K9" s="26">
        <v>2.1915</v>
      </c>
      <c r="L9" s="26"/>
      <c r="M9" s="26"/>
      <c r="N9" s="27">
        <v>6617033.6</v>
      </c>
      <c r="O9" s="27">
        <v>3934351.1</v>
      </c>
      <c r="P9" s="27">
        <v>1029531.8</v>
      </c>
      <c r="Q9" s="27">
        <v>428574.5</v>
      </c>
      <c r="R9" s="27" t="s">
        <v>22</v>
      </c>
      <c r="S9" s="27"/>
      <c r="T9" s="27"/>
      <c r="U9" s="28">
        <v>232914.1</v>
      </c>
      <c r="V9" s="28">
        <v>82915.6</v>
      </c>
      <c r="W9" s="28">
        <v>21753.4</v>
      </c>
      <c r="X9" s="28">
        <v>7165.1</v>
      </c>
      <c r="Y9" s="28" t="s">
        <v>22</v>
      </c>
      <c r="Z9" s="28"/>
      <c r="AA9" s="28"/>
      <c r="AB9" s="27">
        <v>232914.1</v>
      </c>
      <c r="AC9" s="27">
        <v>83370.1</v>
      </c>
      <c r="AD9" s="27">
        <v>21742.8</v>
      </c>
      <c r="AE9" s="27">
        <v>7165.1</v>
      </c>
      <c r="AF9" s="27" t="s">
        <v>22</v>
      </c>
      <c r="AG9" s="27"/>
      <c r="AH9" s="27"/>
      <c r="AI9" s="29" t="s">
        <v>22</v>
      </c>
      <c r="AJ9" s="29" t="s">
        <v>22</v>
      </c>
      <c r="AK9" s="29" t="s">
        <v>22</v>
      </c>
      <c r="AL9" s="29"/>
      <c r="AM9" s="29"/>
      <c r="AN9" s="30">
        <v>0.0352</v>
      </c>
      <c r="AO9" s="30">
        <v>0.0212</v>
      </c>
      <c r="AP9" s="30">
        <v>0.0211</v>
      </c>
      <c r="AQ9" s="30"/>
      <c r="AR9" s="30"/>
      <c r="AS9" s="31" t="s">
        <v>22</v>
      </c>
      <c r="AT9" s="31" t="s">
        <v>22</v>
      </c>
      <c r="AU9" s="31" t="s">
        <v>22</v>
      </c>
      <c r="AV9" s="31"/>
      <c r="AW9" s="31"/>
      <c r="AX9" s="32" t="s">
        <v>22</v>
      </c>
      <c r="AY9" s="32" t="s">
        <v>22</v>
      </c>
      <c r="AZ9" s="32" t="s">
        <v>22</v>
      </c>
      <c r="BA9" s="33"/>
    </row>
    <row r="10" ht="15.5" customHeight="1" spans="1:53">
      <c r="A10" s="23" t="s">
        <v>52</v>
      </c>
      <c r="B10" s="23" t="s">
        <v>53</v>
      </c>
      <c r="C10" s="23" t="s">
        <v>54</v>
      </c>
      <c r="D10" s="24">
        <v>46021</v>
      </c>
      <c r="E10" s="25" t="s">
        <v>55</v>
      </c>
      <c r="F10" s="23" t="s">
        <v>56</v>
      </c>
      <c r="G10" s="23" t="s">
        <v>57</v>
      </c>
      <c r="H10" s="26">
        <v>0.5247</v>
      </c>
      <c r="I10" s="26"/>
      <c r="J10" s="26"/>
      <c r="K10" s="26">
        <v>2.9871</v>
      </c>
      <c r="L10" s="26"/>
      <c r="M10" s="26"/>
      <c r="N10" s="27">
        <v>244953.7</v>
      </c>
      <c r="O10" s="27">
        <v>120964.1</v>
      </c>
      <c r="P10" s="27">
        <v>80500.4</v>
      </c>
      <c r="Q10" s="27">
        <v>69115</v>
      </c>
      <c r="R10" s="27" t="s">
        <v>22</v>
      </c>
      <c r="S10" s="27"/>
      <c r="T10" s="27"/>
      <c r="U10" s="28">
        <v>36036.7</v>
      </c>
      <c r="V10" s="28">
        <v>18683.3</v>
      </c>
      <c r="W10" s="28">
        <v>8451.8</v>
      </c>
      <c r="X10" s="28">
        <v>-593.1</v>
      </c>
      <c r="Y10" s="28" t="s">
        <v>22</v>
      </c>
      <c r="Z10" s="28"/>
      <c r="AA10" s="28"/>
      <c r="AB10" s="27">
        <v>36036.7</v>
      </c>
      <c r="AC10" s="27">
        <v>18683.3</v>
      </c>
      <c r="AD10" s="27">
        <v>8451.8</v>
      </c>
      <c r="AE10" s="27">
        <v>-587.1</v>
      </c>
      <c r="AF10" s="27" t="s">
        <v>22</v>
      </c>
      <c r="AG10" s="27"/>
      <c r="AH10" s="27"/>
      <c r="AI10" s="29">
        <v>40.85</v>
      </c>
      <c r="AJ10" s="29" t="s">
        <v>22</v>
      </c>
      <c r="AK10" s="29" t="s">
        <v>22</v>
      </c>
      <c r="AL10" s="29"/>
      <c r="AM10" s="29"/>
      <c r="AN10" s="30">
        <v>0.1471</v>
      </c>
      <c r="AO10" s="30">
        <v>0.1545</v>
      </c>
      <c r="AP10" s="30">
        <v>0.105</v>
      </c>
      <c r="AQ10" s="30"/>
      <c r="AR10" s="30"/>
      <c r="AS10" s="35">
        <v>0.012</v>
      </c>
      <c r="AT10" s="31" t="s">
        <v>22</v>
      </c>
      <c r="AU10" s="31" t="s">
        <v>22</v>
      </c>
      <c r="AV10" s="31"/>
      <c r="AW10" s="31"/>
      <c r="AX10" s="30">
        <v>0.3732</v>
      </c>
      <c r="AY10" s="32" t="s">
        <v>22</v>
      </c>
      <c r="AZ10" s="32" t="s">
        <v>22</v>
      </c>
      <c r="BA10" s="33"/>
    </row>
    <row r="11" ht="15.5" customHeight="1" spans="1:53">
      <c r="A11" s="23" t="s">
        <v>58</v>
      </c>
      <c r="B11" s="23" t="s">
        <v>59</v>
      </c>
      <c r="C11" s="23" t="s">
        <v>60</v>
      </c>
      <c r="D11" s="24">
        <v>46013</v>
      </c>
      <c r="E11" s="25" t="s">
        <v>61</v>
      </c>
      <c r="F11" s="23" t="s">
        <v>62</v>
      </c>
      <c r="G11" s="23" t="s">
        <v>63</v>
      </c>
      <c r="H11" s="26">
        <v>0.3378</v>
      </c>
      <c r="I11" s="26"/>
      <c r="J11" s="26"/>
      <c r="K11" s="26">
        <v>1.4995</v>
      </c>
      <c r="L11" s="26"/>
      <c r="M11" s="26"/>
      <c r="N11" s="27">
        <v>15091.93</v>
      </c>
      <c r="O11" s="27">
        <v>13720</v>
      </c>
      <c r="P11" s="27">
        <v>14388.7</v>
      </c>
      <c r="Q11" s="27">
        <v>6303.9</v>
      </c>
      <c r="R11" s="27">
        <v>5874.27</v>
      </c>
      <c r="S11" s="27"/>
      <c r="T11" s="27"/>
      <c r="U11" s="28">
        <v>2828.61</v>
      </c>
      <c r="V11" s="28">
        <v>4280.9</v>
      </c>
      <c r="W11" s="28">
        <v>4750.4</v>
      </c>
      <c r="X11" s="28">
        <v>-259.9</v>
      </c>
      <c r="Y11" s="28">
        <v>-92.29</v>
      </c>
      <c r="Z11" s="28"/>
      <c r="AA11" s="28"/>
      <c r="AB11" s="27">
        <v>3538.58</v>
      </c>
      <c r="AC11" s="27">
        <v>4285.9</v>
      </c>
      <c r="AD11" s="27">
        <v>4750.4</v>
      </c>
      <c r="AE11" s="27">
        <v>-259.9</v>
      </c>
      <c r="AF11" s="27">
        <v>-92.29</v>
      </c>
      <c r="AG11" s="27"/>
      <c r="AH11" s="27"/>
      <c r="AI11" s="29">
        <v>6.89</v>
      </c>
      <c r="AJ11" s="29" t="s">
        <v>22</v>
      </c>
      <c r="AK11" s="29" t="s">
        <v>22</v>
      </c>
      <c r="AL11" s="29"/>
      <c r="AM11" s="29"/>
      <c r="AN11" s="30">
        <v>0.2345</v>
      </c>
      <c r="AO11" s="30">
        <v>0.3124</v>
      </c>
      <c r="AP11" s="30">
        <v>0.3301</v>
      </c>
      <c r="AQ11" s="30"/>
      <c r="AR11" s="30"/>
      <c r="AS11" s="35">
        <v>0.1132</v>
      </c>
      <c r="AT11" s="31" t="s">
        <v>22</v>
      </c>
      <c r="AU11" s="31" t="s">
        <v>22</v>
      </c>
      <c r="AV11" s="31"/>
      <c r="AW11" s="31"/>
      <c r="AX11" s="30">
        <v>0.8506</v>
      </c>
      <c r="AY11" s="32" t="s">
        <v>22</v>
      </c>
      <c r="AZ11" s="32" t="s">
        <v>22</v>
      </c>
      <c r="BA11" s="33"/>
    </row>
    <row r="12" ht="15.5" customHeight="1" spans="1:53">
      <c r="A12" s="23" t="s">
        <v>64</v>
      </c>
      <c r="B12" s="23" t="s">
        <v>65</v>
      </c>
      <c r="C12" s="23" t="s">
        <v>66</v>
      </c>
      <c r="D12" s="24">
        <v>46002</v>
      </c>
      <c r="E12" s="25" t="s">
        <v>67</v>
      </c>
      <c r="F12" s="23" t="s">
        <v>51</v>
      </c>
      <c r="G12" s="23" t="s">
        <v>68</v>
      </c>
      <c r="H12" s="26">
        <v>0.1922</v>
      </c>
      <c r="I12" s="26"/>
      <c r="J12" s="26"/>
      <c r="K12" s="26">
        <v>0.5514</v>
      </c>
      <c r="L12" s="26"/>
      <c r="M12" s="26"/>
      <c r="N12" s="27">
        <v>2395178.9</v>
      </c>
      <c r="O12" s="27">
        <v>2039774.1</v>
      </c>
      <c r="P12" s="27">
        <v>1733588.3</v>
      </c>
      <c r="Q12" s="27">
        <v>1413469.5</v>
      </c>
      <c r="R12" s="27">
        <v>1034549.5</v>
      </c>
      <c r="S12" s="27"/>
      <c r="T12" s="27"/>
      <c r="U12" s="28">
        <v>231372.3</v>
      </c>
      <c r="V12" s="28">
        <v>76160.8</v>
      </c>
      <c r="W12" s="28">
        <v>479.9</v>
      </c>
      <c r="X12" s="28">
        <v>-133412.8</v>
      </c>
      <c r="Y12" s="28">
        <v>-123358.9</v>
      </c>
      <c r="Z12" s="28"/>
      <c r="AA12" s="28"/>
      <c r="AB12" s="27">
        <v>231372.3</v>
      </c>
      <c r="AC12" s="27">
        <v>76160.8</v>
      </c>
      <c r="AD12" s="27">
        <v>479.9</v>
      </c>
      <c r="AE12" s="27">
        <v>-133412.8</v>
      </c>
      <c r="AF12" s="27">
        <v>-123358.9</v>
      </c>
      <c r="AG12" s="27"/>
      <c r="AH12" s="27"/>
      <c r="AI12" s="29">
        <v>37.49</v>
      </c>
      <c r="AJ12" s="29" t="s">
        <v>22</v>
      </c>
      <c r="AK12" s="29" t="s">
        <v>22</v>
      </c>
      <c r="AL12" s="29"/>
      <c r="AM12" s="29"/>
      <c r="AN12" s="30">
        <v>0.0966</v>
      </c>
      <c r="AO12" s="30">
        <v>0.0373</v>
      </c>
      <c r="AP12" s="30">
        <v>0.0003</v>
      </c>
      <c r="AQ12" s="30"/>
      <c r="AR12" s="30"/>
      <c r="AS12" s="31" t="s">
        <v>22</v>
      </c>
      <c r="AT12" s="31" t="s">
        <v>22</v>
      </c>
      <c r="AU12" s="31" t="s">
        <v>22</v>
      </c>
      <c r="AV12" s="31"/>
      <c r="AW12" s="31"/>
      <c r="AX12" s="32" t="s">
        <v>22</v>
      </c>
      <c r="AY12" s="32" t="s">
        <v>22</v>
      </c>
      <c r="AZ12" s="32" t="s">
        <v>22</v>
      </c>
      <c r="BA12" s="33"/>
    </row>
    <row r="13" ht="15.5" customHeight="1" spans="1:53">
      <c r="A13" s="23" t="s">
        <v>69</v>
      </c>
      <c r="B13" s="23" t="s">
        <v>70</v>
      </c>
      <c r="C13" s="23" t="s">
        <v>71</v>
      </c>
      <c r="D13" s="24">
        <v>45996</v>
      </c>
      <c r="E13" s="25" t="s">
        <v>72</v>
      </c>
      <c r="F13" s="23" t="s">
        <v>73</v>
      </c>
      <c r="G13" s="23" t="s">
        <v>63</v>
      </c>
      <c r="H13" s="26">
        <v>0.5714</v>
      </c>
      <c r="I13" s="26"/>
      <c r="J13" s="26"/>
      <c r="K13" s="26">
        <v>0.7043</v>
      </c>
      <c r="L13" s="26"/>
      <c r="M13" s="26"/>
      <c r="N13" s="27">
        <v>162235.8</v>
      </c>
      <c r="O13" s="27">
        <v>115443.4</v>
      </c>
      <c r="P13" s="27">
        <v>80051.4</v>
      </c>
      <c r="Q13" s="27">
        <v>41809.6</v>
      </c>
      <c r="R13" s="27" t="s">
        <v>22</v>
      </c>
      <c r="S13" s="27"/>
      <c r="T13" s="27"/>
      <c r="U13" s="28">
        <v>10612.4</v>
      </c>
      <c r="V13" s="28">
        <v>6070</v>
      </c>
      <c r="W13" s="28">
        <v>4591.4</v>
      </c>
      <c r="X13" s="28">
        <v>-3597.3</v>
      </c>
      <c r="Y13" s="28" t="s">
        <v>22</v>
      </c>
      <c r="Z13" s="28"/>
      <c r="AA13" s="28"/>
      <c r="AB13" s="27">
        <v>10612.4</v>
      </c>
      <c r="AC13" s="27">
        <v>6070</v>
      </c>
      <c r="AD13" s="27">
        <v>4591.4</v>
      </c>
      <c r="AE13" s="27">
        <v>-3597.3</v>
      </c>
      <c r="AF13" s="27" t="s">
        <v>22</v>
      </c>
      <c r="AG13" s="27"/>
      <c r="AH13" s="27"/>
      <c r="AI13" s="29">
        <v>37.43</v>
      </c>
      <c r="AJ13" s="29" t="s">
        <v>22</v>
      </c>
      <c r="AK13" s="29" t="s">
        <v>22</v>
      </c>
      <c r="AL13" s="29"/>
      <c r="AM13" s="29"/>
      <c r="AN13" s="30">
        <v>0.0654</v>
      </c>
      <c r="AO13" s="30">
        <v>0.0526</v>
      </c>
      <c r="AP13" s="30">
        <v>0.0574</v>
      </c>
      <c r="AQ13" s="30"/>
      <c r="AR13" s="30"/>
      <c r="AS13" s="35">
        <v>0.0077</v>
      </c>
      <c r="AT13" s="31" t="s">
        <v>22</v>
      </c>
      <c r="AU13" s="31" t="s">
        <v>22</v>
      </c>
      <c r="AV13" s="31"/>
      <c r="AW13" s="31"/>
      <c r="AX13" s="30">
        <v>0.2008</v>
      </c>
      <c r="AY13" s="32" t="s">
        <v>22</v>
      </c>
      <c r="AZ13" s="32" t="s">
        <v>22</v>
      </c>
      <c r="BA13" s="33"/>
    </row>
    <row r="14" ht="15.5" customHeight="1" spans="1:53">
      <c r="A14" s="23" t="s">
        <v>74</v>
      </c>
      <c r="B14" s="23" t="s">
        <v>75</v>
      </c>
      <c r="C14" s="23" t="s">
        <v>76</v>
      </c>
      <c r="D14" s="24">
        <v>45994</v>
      </c>
      <c r="E14" s="25" t="s">
        <v>77</v>
      </c>
      <c r="F14" s="23" t="s">
        <v>73</v>
      </c>
      <c r="G14" s="23" t="s">
        <v>63</v>
      </c>
      <c r="H14" s="26">
        <v>0.4004</v>
      </c>
      <c r="I14" s="26"/>
      <c r="J14" s="26"/>
      <c r="K14" s="26">
        <v>1.4364</v>
      </c>
      <c r="L14" s="26"/>
      <c r="M14" s="26"/>
      <c r="N14" s="27">
        <v>90677.8</v>
      </c>
      <c r="O14" s="27">
        <v>79799.1</v>
      </c>
      <c r="P14" s="27">
        <v>58683.6</v>
      </c>
      <c r="Q14" s="27">
        <v>33015.4</v>
      </c>
      <c r="R14" s="27" t="s">
        <v>22</v>
      </c>
      <c r="S14" s="27"/>
      <c r="T14" s="27"/>
      <c r="U14" s="28">
        <v>9373.1</v>
      </c>
      <c r="V14" s="28">
        <v>8580.7</v>
      </c>
      <c r="W14" s="28">
        <v>8734</v>
      </c>
      <c r="X14" s="28">
        <v>648.1</v>
      </c>
      <c r="Y14" s="28" t="s">
        <v>22</v>
      </c>
      <c r="Z14" s="28"/>
      <c r="AA14" s="28"/>
      <c r="AB14" s="27">
        <v>9373.1</v>
      </c>
      <c r="AC14" s="27">
        <v>8580.7</v>
      </c>
      <c r="AD14" s="27">
        <v>8734</v>
      </c>
      <c r="AE14" s="27">
        <v>648.1</v>
      </c>
      <c r="AF14" s="27" t="s">
        <v>22</v>
      </c>
      <c r="AG14" s="27"/>
      <c r="AH14" s="27"/>
      <c r="AI14" s="29">
        <v>23.8</v>
      </c>
      <c r="AJ14" s="29" t="s">
        <v>22</v>
      </c>
      <c r="AK14" s="29" t="s">
        <v>22</v>
      </c>
      <c r="AL14" s="29"/>
      <c r="AM14" s="29"/>
      <c r="AN14" s="30">
        <v>0.1034</v>
      </c>
      <c r="AO14" s="30">
        <v>0.1075</v>
      </c>
      <c r="AP14" s="30">
        <v>0.1488</v>
      </c>
      <c r="AQ14" s="30"/>
      <c r="AR14" s="30"/>
      <c r="AS14" s="35">
        <v>0.0153</v>
      </c>
      <c r="AT14" s="31" t="s">
        <v>22</v>
      </c>
      <c r="AU14" s="31" t="s">
        <v>22</v>
      </c>
      <c r="AV14" s="31"/>
      <c r="AW14" s="31"/>
      <c r="AX14" s="30">
        <v>0.2996</v>
      </c>
      <c r="AY14" s="32" t="s">
        <v>22</v>
      </c>
      <c r="AZ14" s="32" t="s">
        <v>22</v>
      </c>
      <c r="BA14" s="33"/>
    </row>
    <row r="15" ht="15.5" customHeight="1" spans="1:53">
      <c r="A15" s="23" t="s">
        <v>78</v>
      </c>
      <c r="B15" s="23" t="s">
        <v>79</v>
      </c>
      <c r="C15" s="23" t="s">
        <v>80</v>
      </c>
      <c r="D15" s="24">
        <v>45971</v>
      </c>
      <c r="E15" s="25" t="s">
        <v>81</v>
      </c>
      <c r="F15" s="23" t="s">
        <v>51</v>
      </c>
      <c r="G15" s="23" t="s">
        <v>82</v>
      </c>
      <c r="H15" s="26">
        <v>0.2142</v>
      </c>
      <c r="I15" s="26"/>
      <c r="J15" s="26"/>
      <c r="K15" s="26">
        <v>0.8804</v>
      </c>
      <c r="L15" s="26"/>
      <c r="M15" s="26"/>
      <c r="N15" s="27">
        <v>398803.57</v>
      </c>
      <c r="O15" s="27">
        <v>326632.99</v>
      </c>
      <c r="P15" s="27">
        <v>291360.32</v>
      </c>
      <c r="Q15" s="27">
        <v>222796.16</v>
      </c>
      <c r="R15" s="27" t="s">
        <v>22</v>
      </c>
      <c r="S15" s="27"/>
      <c r="T15" s="27"/>
      <c r="U15" s="28">
        <v>85163.05</v>
      </c>
      <c r="V15" s="28">
        <v>68369.59</v>
      </c>
      <c r="W15" s="28">
        <v>45810.9</v>
      </c>
      <c r="X15" s="28">
        <v>12807.9</v>
      </c>
      <c r="Y15" s="28" t="s">
        <v>22</v>
      </c>
      <c r="Z15" s="28"/>
      <c r="AA15" s="28"/>
      <c r="AB15" s="27">
        <v>85163.05</v>
      </c>
      <c r="AC15" s="27">
        <v>68369.59</v>
      </c>
      <c r="AD15" s="27">
        <v>45810.9</v>
      </c>
      <c r="AE15" s="27">
        <v>12807.9</v>
      </c>
      <c r="AF15" s="27" t="s">
        <v>22</v>
      </c>
      <c r="AG15" s="27"/>
      <c r="AH15" s="27"/>
      <c r="AI15" s="29">
        <v>27.15</v>
      </c>
      <c r="AJ15" s="29" t="s">
        <v>22</v>
      </c>
      <c r="AK15" s="29" t="s">
        <v>22</v>
      </c>
      <c r="AL15" s="29"/>
      <c r="AM15" s="29"/>
      <c r="AN15" s="30">
        <v>0.2135</v>
      </c>
      <c r="AO15" s="30">
        <v>0.2093</v>
      </c>
      <c r="AP15" s="30">
        <v>0.1572</v>
      </c>
      <c r="AQ15" s="30"/>
      <c r="AR15" s="30"/>
      <c r="AS15" s="35">
        <v>0.0215</v>
      </c>
      <c r="AT15" s="31" t="s">
        <v>22</v>
      </c>
      <c r="AU15" s="31" t="s">
        <v>22</v>
      </c>
      <c r="AV15" s="31"/>
      <c r="AW15" s="31"/>
      <c r="AX15" s="30">
        <v>0.4554</v>
      </c>
      <c r="AY15" s="32" t="s">
        <v>22</v>
      </c>
      <c r="AZ15" s="32" t="s">
        <v>22</v>
      </c>
      <c r="BA15" s="33"/>
    </row>
    <row r="16" ht="15.5" customHeight="1" spans="1:53">
      <c r="A16" s="23" t="s">
        <v>83</v>
      </c>
      <c r="B16" s="23" t="s">
        <v>84</v>
      </c>
      <c r="C16" s="23" t="s">
        <v>85</v>
      </c>
      <c r="D16" s="24">
        <v>45958</v>
      </c>
      <c r="E16" s="25" t="s">
        <v>86</v>
      </c>
      <c r="F16" s="23" t="s">
        <v>51</v>
      </c>
      <c r="G16" s="23" t="s">
        <v>21</v>
      </c>
      <c r="H16" s="26">
        <v>0.0651</v>
      </c>
      <c r="I16" s="26"/>
      <c r="J16" s="26"/>
      <c r="K16" s="26">
        <v>0.102</v>
      </c>
      <c r="L16" s="26"/>
      <c r="M16" s="26"/>
      <c r="N16" s="27">
        <v>219634.8</v>
      </c>
      <c r="O16" s="27">
        <v>214325.9</v>
      </c>
      <c r="P16" s="27">
        <v>212230.5</v>
      </c>
      <c r="Q16" s="27">
        <v>181754</v>
      </c>
      <c r="R16" s="27" t="s">
        <v>22</v>
      </c>
      <c r="S16" s="27"/>
      <c r="T16" s="27"/>
      <c r="U16" s="28">
        <v>22233.8</v>
      </c>
      <c r="V16" s="28">
        <v>22420.1</v>
      </c>
      <c r="W16" s="28">
        <v>20572.8</v>
      </c>
      <c r="X16" s="28">
        <v>16584.9</v>
      </c>
      <c r="Y16" s="28" t="s">
        <v>22</v>
      </c>
      <c r="Z16" s="28"/>
      <c r="AA16" s="28"/>
      <c r="AB16" s="27">
        <v>22225.1</v>
      </c>
      <c r="AC16" s="27">
        <v>22434.4</v>
      </c>
      <c r="AD16" s="27">
        <v>20583.2</v>
      </c>
      <c r="AE16" s="27">
        <v>16609.5</v>
      </c>
      <c r="AF16" s="27" t="s">
        <v>22</v>
      </c>
      <c r="AG16" s="27"/>
      <c r="AH16" s="27"/>
      <c r="AI16" s="29">
        <v>11.44</v>
      </c>
      <c r="AJ16" s="29" t="s">
        <v>22</v>
      </c>
      <c r="AK16" s="29" t="s">
        <v>22</v>
      </c>
      <c r="AL16" s="29"/>
      <c r="AM16" s="29"/>
      <c r="AN16" s="30">
        <v>0.1012</v>
      </c>
      <c r="AO16" s="30">
        <v>0.1047</v>
      </c>
      <c r="AP16" s="30">
        <v>0.097</v>
      </c>
      <c r="AQ16" s="30"/>
      <c r="AR16" s="30"/>
      <c r="AS16" s="31" t="s">
        <v>22</v>
      </c>
      <c r="AT16" s="31" t="s">
        <v>22</v>
      </c>
      <c r="AU16" s="31" t="s">
        <v>22</v>
      </c>
      <c r="AV16" s="31"/>
      <c r="AW16" s="31"/>
      <c r="AX16" s="32" t="s">
        <v>22</v>
      </c>
      <c r="AY16" s="32" t="s">
        <v>22</v>
      </c>
      <c r="AZ16" s="32" t="s">
        <v>22</v>
      </c>
      <c r="BA16" s="33"/>
    </row>
    <row r="17" ht="15.5" customHeight="1" spans="1:53">
      <c r="A17" s="23" t="s">
        <v>87</v>
      </c>
      <c r="B17" s="23" t="s">
        <v>88</v>
      </c>
      <c r="C17" s="23" t="s">
        <v>89</v>
      </c>
      <c r="D17" s="24">
        <v>45930</v>
      </c>
      <c r="E17" s="25" t="s">
        <v>90</v>
      </c>
      <c r="F17" s="23" t="s">
        <v>91</v>
      </c>
      <c r="G17" s="23" t="s">
        <v>92</v>
      </c>
      <c r="H17" s="26">
        <v>0.2357</v>
      </c>
      <c r="I17" s="26"/>
      <c r="J17" s="26"/>
      <c r="K17" s="26">
        <v>0.6073</v>
      </c>
      <c r="L17" s="26"/>
      <c r="M17" s="26"/>
      <c r="N17" s="27">
        <v>61084.2</v>
      </c>
      <c r="O17" s="27">
        <v>45655.6</v>
      </c>
      <c r="P17" s="27">
        <v>44547.7</v>
      </c>
      <c r="Q17" s="27">
        <v>32370.4</v>
      </c>
      <c r="R17" s="27">
        <v>44999.4</v>
      </c>
      <c r="S17" s="27"/>
      <c r="T17" s="27"/>
      <c r="U17" s="28">
        <v>10189.6</v>
      </c>
      <c r="V17" s="28">
        <v>4934.8</v>
      </c>
      <c r="W17" s="28">
        <v>5209.9</v>
      </c>
      <c r="X17" s="28">
        <v>2454.1</v>
      </c>
      <c r="Y17" s="28">
        <v>5885.2</v>
      </c>
      <c r="Z17" s="28"/>
      <c r="AA17" s="28"/>
      <c r="AB17" s="27">
        <v>10189.8</v>
      </c>
      <c r="AC17" s="27">
        <v>4934.8</v>
      </c>
      <c r="AD17" s="27">
        <v>5209.9</v>
      </c>
      <c r="AE17" s="27">
        <v>2454.1</v>
      </c>
      <c r="AF17" s="27">
        <v>5885.2</v>
      </c>
      <c r="AG17" s="27"/>
      <c r="AH17" s="27"/>
      <c r="AI17" s="29">
        <v>190.95</v>
      </c>
      <c r="AJ17" s="29" t="s">
        <v>22</v>
      </c>
      <c r="AK17" s="29" t="s">
        <v>22</v>
      </c>
      <c r="AL17" s="29"/>
      <c r="AM17" s="29"/>
      <c r="AN17" s="30">
        <v>0.1668</v>
      </c>
      <c r="AO17" s="30">
        <v>0.1081</v>
      </c>
      <c r="AP17" s="30">
        <v>0.117</v>
      </c>
      <c r="AQ17" s="30"/>
      <c r="AR17" s="30"/>
      <c r="AS17" s="31" t="s">
        <v>22</v>
      </c>
      <c r="AT17" s="31" t="s">
        <v>22</v>
      </c>
      <c r="AU17" s="31" t="s">
        <v>22</v>
      </c>
      <c r="AV17" s="31"/>
      <c r="AW17" s="31"/>
      <c r="AX17" s="32" t="s">
        <v>22</v>
      </c>
      <c r="AY17" s="32" t="s">
        <v>22</v>
      </c>
      <c r="AZ17" s="32" t="s">
        <v>22</v>
      </c>
      <c r="BA17" s="33"/>
    </row>
    <row r="18" ht="15.5" customHeight="1" spans="1:53">
      <c r="A18" s="23" t="s">
        <v>93</v>
      </c>
      <c r="B18" s="23" t="s">
        <v>94</v>
      </c>
      <c r="C18" s="23" t="s">
        <v>94</v>
      </c>
      <c r="D18" s="24">
        <v>45923</v>
      </c>
      <c r="E18" s="25" t="s">
        <v>95</v>
      </c>
      <c r="F18" s="23" t="s">
        <v>56</v>
      </c>
      <c r="G18" s="23" t="s">
        <v>38</v>
      </c>
      <c r="H18" s="26">
        <v>0.4179</v>
      </c>
      <c r="I18" s="26"/>
      <c r="J18" s="26"/>
      <c r="K18" s="26">
        <v>0.7181</v>
      </c>
      <c r="L18" s="26"/>
      <c r="M18" s="26"/>
      <c r="N18" s="27">
        <v>144582.3</v>
      </c>
      <c r="O18" s="27">
        <v>124887.5</v>
      </c>
      <c r="P18" s="27">
        <v>85210.3</v>
      </c>
      <c r="Q18" s="27">
        <v>50720.2</v>
      </c>
      <c r="R18" s="27" t="s">
        <v>22</v>
      </c>
      <c r="S18" s="27"/>
      <c r="T18" s="27"/>
      <c r="U18" s="28">
        <v>6519.8</v>
      </c>
      <c r="V18" s="28">
        <v>5851.6</v>
      </c>
      <c r="W18" s="28">
        <v>2722.4</v>
      </c>
      <c r="X18" s="28">
        <v>-2122.9</v>
      </c>
      <c r="Y18" s="28" t="s">
        <v>22</v>
      </c>
      <c r="Z18" s="28"/>
      <c r="AA18" s="28"/>
      <c r="AB18" s="27">
        <v>6519.8</v>
      </c>
      <c r="AC18" s="27">
        <v>5851.6</v>
      </c>
      <c r="AD18" s="27">
        <v>2722.4</v>
      </c>
      <c r="AE18" s="27">
        <v>-2122.9</v>
      </c>
      <c r="AF18" s="27" t="s">
        <v>22</v>
      </c>
      <c r="AG18" s="27"/>
      <c r="AH18" s="27"/>
      <c r="AI18" s="29">
        <v>102.87</v>
      </c>
      <c r="AJ18" s="29" t="s">
        <v>22</v>
      </c>
      <c r="AK18" s="29" t="s">
        <v>22</v>
      </c>
      <c r="AL18" s="29"/>
      <c r="AM18" s="29"/>
      <c r="AN18" s="30">
        <v>0.0451</v>
      </c>
      <c r="AO18" s="30">
        <v>0.0469</v>
      </c>
      <c r="AP18" s="30">
        <v>0.0319</v>
      </c>
      <c r="AQ18" s="30"/>
      <c r="AR18" s="30"/>
      <c r="AS18" s="31" t="s">
        <v>22</v>
      </c>
      <c r="AT18" s="31" t="s">
        <v>22</v>
      </c>
      <c r="AU18" s="31" t="s">
        <v>22</v>
      </c>
      <c r="AV18" s="31"/>
      <c r="AW18" s="31"/>
      <c r="AX18" s="32" t="s">
        <v>22</v>
      </c>
      <c r="AY18" s="32" t="s">
        <v>22</v>
      </c>
      <c r="AZ18" s="32" t="s">
        <v>22</v>
      </c>
      <c r="BA18" s="33"/>
    </row>
    <row r="19" ht="15.5" customHeight="1" spans="1:53">
      <c r="A19" s="23" t="s">
        <v>96</v>
      </c>
      <c r="B19" s="23" t="s">
        <v>97</v>
      </c>
      <c r="C19" s="23" t="s">
        <v>98</v>
      </c>
      <c r="D19" s="24">
        <v>45909</v>
      </c>
      <c r="E19" s="25" t="s">
        <v>99</v>
      </c>
      <c r="F19" s="23" t="s">
        <v>37</v>
      </c>
      <c r="G19" s="23" t="s">
        <v>38</v>
      </c>
      <c r="H19" s="26">
        <v>0.3615</v>
      </c>
      <c r="I19" s="26"/>
      <c r="J19" s="26"/>
      <c r="K19" s="26">
        <v>0.2642</v>
      </c>
      <c r="L19" s="26"/>
      <c r="M19" s="26"/>
      <c r="N19" s="27">
        <v>64147</v>
      </c>
      <c r="O19" s="27">
        <v>45072</v>
      </c>
      <c r="P19" s="27">
        <v>30015.6</v>
      </c>
      <c r="Q19" s="27">
        <v>25418.8</v>
      </c>
      <c r="R19" s="27" t="s">
        <v>22</v>
      </c>
      <c r="S19" s="27"/>
      <c r="T19" s="27"/>
      <c r="U19" s="28">
        <v>6112.3</v>
      </c>
      <c r="V19" s="28">
        <v>5229.9</v>
      </c>
      <c r="W19" s="28">
        <v>3485</v>
      </c>
      <c r="X19" s="28">
        <v>3143.4</v>
      </c>
      <c r="Y19" s="28" t="s">
        <v>22</v>
      </c>
      <c r="Z19" s="28"/>
      <c r="AA19" s="28"/>
      <c r="AB19" s="27">
        <v>6350.9</v>
      </c>
      <c r="AC19" s="27">
        <v>5229.9</v>
      </c>
      <c r="AD19" s="27">
        <v>3485</v>
      </c>
      <c r="AE19" s="27">
        <v>3143.4</v>
      </c>
      <c r="AF19" s="27" t="s">
        <v>22</v>
      </c>
      <c r="AG19" s="27"/>
      <c r="AH19" s="27"/>
      <c r="AI19" s="29">
        <v>16.17</v>
      </c>
      <c r="AJ19" s="29" t="s">
        <v>22</v>
      </c>
      <c r="AK19" s="29" t="s">
        <v>22</v>
      </c>
      <c r="AL19" s="29"/>
      <c r="AM19" s="29"/>
      <c r="AN19" s="30">
        <v>0.099</v>
      </c>
      <c r="AO19" s="30">
        <v>0.116</v>
      </c>
      <c r="AP19" s="30">
        <v>0.1161</v>
      </c>
      <c r="AQ19" s="30"/>
      <c r="AR19" s="30"/>
      <c r="AS19" s="35">
        <v>0.0357</v>
      </c>
      <c r="AT19" s="31" t="s">
        <v>22</v>
      </c>
      <c r="AU19" s="31" t="s">
        <v>22</v>
      </c>
      <c r="AV19" s="31"/>
      <c r="AW19" s="31"/>
      <c r="AX19" s="30">
        <v>0.5717</v>
      </c>
      <c r="AY19" s="32" t="s">
        <v>22</v>
      </c>
      <c r="AZ19" s="32" t="s">
        <v>22</v>
      </c>
      <c r="BA19" s="33"/>
    </row>
    <row r="20" ht="15.5" customHeight="1" spans="1:53">
      <c r="A20" s="23" t="s">
        <v>100</v>
      </c>
      <c r="B20" s="23" t="s">
        <v>101</v>
      </c>
      <c r="C20" s="23" t="s">
        <v>102</v>
      </c>
      <c r="D20" s="24">
        <v>45842</v>
      </c>
      <c r="E20" s="25" t="s">
        <v>103</v>
      </c>
      <c r="F20" s="23" t="s">
        <v>20</v>
      </c>
      <c r="G20" s="23" t="s">
        <v>21</v>
      </c>
      <c r="H20" s="26">
        <v>0.1018</v>
      </c>
      <c r="I20" s="26"/>
      <c r="J20" s="26"/>
      <c r="K20" s="26">
        <v>0.0728</v>
      </c>
      <c r="L20" s="26"/>
      <c r="M20" s="26"/>
      <c r="N20" s="27">
        <v>1619261.3</v>
      </c>
      <c r="O20" s="27">
        <v>1502958.8</v>
      </c>
      <c r="P20" s="27">
        <v>1396487.8</v>
      </c>
      <c r="Q20" s="27">
        <v>1210561.8</v>
      </c>
      <c r="R20" s="27">
        <v>921351.77</v>
      </c>
      <c r="S20" s="27"/>
      <c r="T20" s="27"/>
      <c r="U20" s="28">
        <v>136952.29</v>
      </c>
      <c r="V20" s="28">
        <v>151361.8</v>
      </c>
      <c r="W20" s="28">
        <v>150116</v>
      </c>
      <c r="X20" s="28">
        <v>111750.4</v>
      </c>
      <c r="Y20" s="28">
        <v>68680.49</v>
      </c>
      <c r="Z20" s="28"/>
      <c r="AA20" s="28"/>
      <c r="AB20" s="27">
        <v>135923.71</v>
      </c>
      <c r="AC20" s="27">
        <v>148483.1</v>
      </c>
      <c r="AD20" s="27">
        <v>147806.7</v>
      </c>
      <c r="AE20" s="27">
        <v>110103</v>
      </c>
      <c r="AF20" s="27">
        <v>68229.61</v>
      </c>
      <c r="AG20" s="27"/>
      <c r="AH20" s="27"/>
      <c r="AI20" s="29">
        <v>14.51</v>
      </c>
      <c r="AJ20" s="29" t="s">
        <v>22</v>
      </c>
      <c r="AK20" s="29" t="s">
        <v>22</v>
      </c>
      <c r="AL20" s="29"/>
      <c r="AM20" s="29"/>
      <c r="AN20" s="30">
        <v>0.0839</v>
      </c>
      <c r="AO20" s="30">
        <v>0.0988</v>
      </c>
      <c r="AP20" s="30">
        <v>0.1058</v>
      </c>
      <c r="AQ20" s="30"/>
      <c r="AR20" s="30"/>
      <c r="AS20" s="35">
        <v>0.0486</v>
      </c>
      <c r="AT20" s="31" t="s">
        <v>22</v>
      </c>
      <c r="AU20" s="31" t="s">
        <v>22</v>
      </c>
      <c r="AV20" s="31"/>
      <c r="AW20" s="31"/>
      <c r="AX20" s="30">
        <v>0.7017</v>
      </c>
      <c r="AY20" s="32" t="s">
        <v>22</v>
      </c>
      <c r="AZ20" s="32" t="s">
        <v>22</v>
      </c>
      <c r="BA20" s="33"/>
    </row>
    <row r="21" ht="15.5" customHeight="1" spans="1:53">
      <c r="A21" s="23" t="s">
        <v>104</v>
      </c>
      <c r="B21" s="23" t="s">
        <v>105</v>
      </c>
      <c r="C21" s="23" t="s">
        <v>106</v>
      </c>
      <c r="D21" s="24">
        <v>45838</v>
      </c>
      <c r="E21" s="25" t="s">
        <v>107</v>
      </c>
      <c r="F21" s="23" t="s">
        <v>20</v>
      </c>
      <c r="G21" s="23" t="s">
        <v>21</v>
      </c>
      <c r="H21" s="34" t="s">
        <v>22</v>
      </c>
      <c r="I21" s="34"/>
      <c r="J21" s="34"/>
      <c r="K21" s="34" t="s">
        <v>22</v>
      </c>
      <c r="L21" s="34"/>
      <c r="M21" s="34"/>
      <c r="N21" s="27">
        <v>123987.33</v>
      </c>
      <c r="O21" s="27">
        <v>113323.69</v>
      </c>
      <c r="P21" s="27">
        <v>61932.55</v>
      </c>
      <c r="Q21" s="27" t="s">
        <v>22</v>
      </c>
      <c r="R21" s="27" t="s">
        <v>22</v>
      </c>
      <c r="S21" s="27"/>
      <c r="T21" s="27"/>
      <c r="U21" s="28">
        <v>16003.17</v>
      </c>
      <c r="V21" s="28">
        <v>23948.87</v>
      </c>
      <c r="W21" s="28">
        <v>11866.36</v>
      </c>
      <c r="X21" s="28" t="s">
        <v>22</v>
      </c>
      <c r="Y21" s="28" t="s">
        <v>22</v>
      </c>
      <c r="Z21" s="28"/>
      <c r="AA21" s="28"/>
      <c r="AB21" s="27">
        <v>16003.17</v>
      </c>
      <c r="AC21" s="27">
        <v>23948.87</v>
      </c>
      <c r="AD21" s="27">
        <v>11866.36</v>
      </c>
      <c r="AE21" s="27" t="s">
        <v>22</v>
      </c>
      <c r="AF21" s="27" t="s">
        <v>22</v>
      </c>
      <c r="AG21" s="27"/>
      <c r="AH21" s="27"/>
      <c r="AI21" s="29">
        <v>16.38</v>
      </c>
      <c r="AJ21" s="29" t="s">
        <v>22</v>
      </c>
      <c r="AK21" s="29" t="s">
        <v>22</v>
      </c>
      <c r="AL21" s="29"/>
      <c r="AM21" s="29"/>
      <c r="AN21" s="30">
        <v>0.1291</v>
      </c>
      <c r="AO21" s="30">
        <v>0.2113</v>
      </c>
      <c r="AP21" s="30">
        <v>0.1916</v>
      </c>
      <c r="AQ21" s="30"/>
      <c r="AR21" s="30"/>
      <c r="AS21" s="35">
        <v>0.013</v>
      </c>
      <c r="AT21" s="31" t="s">
        <v>22</v>
      </c>
      <c r="AU21" s="31" t="s">
        <v>22</v>
      </c>
      <c r="AV21" s="31"/>
      <c r="AW21" s="31"/>
      <c r="AX21" s="30">
        <v>0.3045</v>
      </c>
      <c r="AY21" s="32" t="s">
        <v>22</v>
      </c>
      <c r="AZ21" s="32" t="s">
        <v>22</v>
      </c>
      <c r="BA21" s="33"/>
    </row>
    <row r="22" ht="15.5" customHeight="1" spans="1:53">
      <c r="A22" s="23" t="s">
        <v>108</v>
      </c>
      <c r="B22" s="23" t="s">
        <v>109</v>
      </c>
      <c r="C22" s="23" t="s">
        <v>110</v>
      </c>
      <c r="D22" s="24">
        <v>45834</v>
      </c>
      <c r="E22" s="25" t="s">
        <v>111</v>
      </c>
      <c r="F22" s="23" t="s">
        <v>56</v>
      </c>
      <c r="G22" s="23" t="s">
        <v>112</v>
      </c>
      <c r="H22" s="26">
        <v>0.3041</v>
      </c>
      <c r="I22" s="26"/>
      <c r="J22" s="26"/>
      <c r="K22" s="26">
        <v>0.4424</v>
      </c>
      <c r="L22" s="26"/>
      <c r="M22" s="26"/>
      <c r="N22" s="27">
        <v>104585.9</v>
      </c>
      <c r="O22" s="27">
        <v>79866.6</v>
      </c>
      <c r="P22" s="27">
        <v>55990.9</v>
      </c>
      <c r="Q22" s="27">
        <v>47152.2</v>
      </c>
      <c r="R22" s="27">
        <v>25876.2</v>
      </c>
      <c r="S22" s="27"/>
      <c r="T22" s="27"/>
      <c r="U22" s="28">
        <v>41118</v>
      </c>
      <c r="V22" s="28">
        <v>-54327.9</v>
      </c>
      <c r="W22" s="28">
        <v>-23889.4</v>
      </c>
      <c r="X22" s="28">
        <v>-41157.6</v>
      </c>
      <c r="Y22" s="28">
        <v>-12239.8</v>
      </c>
      <c r="Z22" s="28"/>
      <c r="AA22" s="28"/>
      <c r="AB22" s="27">
        <v>40787.1</v>
      </c>
      <c r="AC22" s="27">
        <v>-54657.7</v>
      </c>
      <c r="AD22" s="27">
        <v>-23896.5</v>
      </c>
      <c r="AE22" s="27">
        <v>-40749.6</v>
      </c>
      <c r="AF22" s="27">
        <v>-11940.1</v>
      </c>
      <c r="AG22" s="27"/>
      <c r="AH22" s="27"/>
      <c r="AI22" s="29">
        <v>8.66</v>
      </c>
      <c r="AJ22" s="29" t="s">
        <v>22</v>
      </c>
      <c r="AK22" s="29" t="s">
        <v>22</v>
      </c>
      <c r="AL22" s="29"/>
      <c r="AM22" s="29"/>
      <c r="AN22" s="30">
        <v>0.39</v>
      </c>
      <c r="AO22" s="30">
        <v>-0.6844</v>
      </c>
      <c r="AP22" s="30">
        <v>-0.4268</v>
      </c>
      <c r="AQ22" s="30"/>
      <c r="AR22" s="30"/>
      <c r="AS22" s="31" t="s">
        <v>22</v>
      </c>
      <c r="AT22" s="31" t="s">
        <v>22</v>
      </c>
      <c r="AU22" s="31" t="s">
        <v>22</v>
      </c>
      <c r="AV22" s="31"/>
      <c r="AW22" s="31"/>
      <c r="AX22" s="32" t="s">
        <v>22</v>
      </c>
      <c r="AY22" s="32" t="s">
        <v>22</v>
      </c>
      <c r="AZ22" s="32" t="s">
        <v>22</v>
      </c>
      <c r="BA22" s="33"/>
    </row>
    <row r="23" ht="15.5" customHeight="1" spans="1:53">
      <c r="A23" s="23" t="s">
        <v>113</v>
      </c>
      <c r="B23" s="23" t="s">
        <v>114</v>
      </c>
      <c r="C23" s="23" t="s">
        <v>115</v>
      </c>
      <c r="D23" s="24">
        <v>45834</v>
      </c>
      <c r="E23" s="25" t="s">
        <v>116</v>
      </c>
      <c r="F23" s="23" t="s">
        <v>51</v>
      </c>
      <c r="G23" s="23" t="s">
        <v>32</v>
      </c>
      <c r="H23" s="26">
        <v>0.2344</v>
      </c>
      <c r="I23" s="26"/>
      <c r="J23" s="26"/>
      <c r="K23" s="26">
        <v>0.1022</v>
      </c>
      <c r="L23" s="26"/>
      <c r="M23" s="26"/>
      <c r="N23" s="27">
        <v>583429.5</v>
      </c>
      <c r="O23" s="27">
        <v>571819.5</v>
      </c>
      <c r="P23" s="27">
        <v>514960.1</v>
      </c>
      <c r="Q23" s="27">
        <v>310169</v>
      </c>
      <c r="R23" s="27">
        <v>278305.6</v>
      </c>
      <c r="S23" s="27"/>
      <c r="T23" s="27"/>
      <c r="U23" s="28">
        <v>76927.9</v>
      </c>
      <c r="V23" s="28">
        <v>70631.2</v>
      </c>
      <c r="W23" s="28">
        <v>65969.4</v>
      </c>
      <c r="X23" s="28">
        <v>57524.1</v>
      </c>
      <c r="Y23" s="28">
        <v>42539.7</v>
      </c>
      <c r="Z23" s="28"/>
      <c r="AA23" s="28"/>
      <c r="AB23" s="27">
        <v>77029.6</v>
      </c>
      <c r="AC23" s="27">
        <v>70631.2</v>
      </c>
      <c r="AD23" s="27">
        <v>65969.4</v>
      </c>
      <c r="AE23" s="27">
        <v>57524.1</v>
      </c>
      <c r="AF23" s="27">
        <v>42568.7</v>
      </c>
      <c r="AG23" s="27"/>
      <c r="AH23" s="27"/>
      <c r="AI23" s="29">
        <v>15.47</v>
      </c>
      <c r="AJ23" s="29" t="s">
        <v>22</v>
      </c>
      <c r="AK23" s="29" t="s">
        <v>22</v>
      </c>
      <c r="AL23" s="29"/>
      <c r="AM23" s="29"/>
      <c r="AN23" s="30">
        <v>0.132</v>
      </c>
      <c r="AO23" s="30">
        <v>0.1235</v>
      </c>
      <c r="AP23" s="30">
        <v>0.1281</v>
      </c>
      <c r="AQ23" s="30"/>
      <c r="AR23" s="30"/>
      <c r="AS23" s="35">
        <v>0.035</v>
      </c>
      <c r="AT23" s="31" t="s">
        <v>22</v>
      </c>
      <c r="AU23" s="31" t="s">
        <v>22</v>
      </c>
      <c r="AV23" s="31"/>
      <c r="AW23" s="31"/>
      <c r="AX23" s="30">
        <v>0.5155</v>
      </c>
      <c r="AY23" s="32" t="s">
        <v>22</v>
      </c>
      <c r="AZ23" s="32" t="s">
        <v>22</v>
      </c>
      <c r="BA23" s="33"/>
    </row>
    <row r="24" ht="15.5" customHeight="1" spans="1:53">
      <c r="A24" s="23" t="s">
        <v>117</v>
      </c>
      <c r="B24" s="23" t="s">
        <v>118</v>
      </c>
      <c r="C24" s="23" t="s">
        <v>119</v>
      </c>
      <c r="D24" s="24">
        <v>45834</v>
      </c>
      <c r="E24" s="25" t="s">
        <v>120</v>
      </c>
      <c r="F24" s="23" t="s">
        <v>56</v>
      </c>
      <c r="G24" s="23" t="s">
        <v>57</v>
      </c>
      <c r="H24" s="26">
        <v>0.0755</v>
      </c>
      <c r="I24" s="26"/>
      <c r="J24" s="26"/>
      <c r="K24" s="26">
        <v>0.0993</v>
      </c>
      <c r="L24" s="26"/>
      <c r="M24" s="26"/>
      <c r="N24" s="27">
        <v>208336.3</v>
      </c>
      <c r="O24" s="27">
        <v>186376.1</v>
      </c>
      <c r="P24" s="27">
        <v>169914.4</v>
      </c>
      <c r="Q24" s="27">
        <v>167465.4</v>
      </c>
      <c r="R24" s="27" t="s">
        <v>22</v>
      </c>
      <c r="S24" s="27"/>
      <c r="T24" s="27"/>
      <c r="U24" s="28">
        <v>22702.9</v>
      </c>
      <c r="V24" s="28">
        <v>20647.3</v>
      </c>
      <c r="W24" s="28">
        <v>17310.6</v>
      </c>
      <c r="X24" s="28">
        <v>17088.7</v>
      </c>
      <c r="Y24" s="28" t="s">
        <v>22</v>
      </c>
      <c r="Z24" s="28"/>
      <c r="AA24" s="28"/>
      <c r="AB24" s="27">
        <v>22702.9</v>
      </c>
      <c r="AC24" s="27">
        <v>20647.3</v>
      </c>
      <c r="AD24" s="27">
        <v>17310.6</v>
      </c>
      <c r="AE24" s="27">
        <v>17088.7</v>
      </c>
      <c r="AF24" s="27" t="s">
        <v>22</v>
      </c>
      <c r="AG24" s="27"/>
      <c r="AH24" s="27"/>
      <c r="AI24" s="29">
        <v>10.64</v>
      </c>
      <c r="AJ24" s="29" t="s">
        <v>22</v>
      </c>
      <c r="AK24" s="29" t="s">
        <v>22</v>
      </c>
      <c r="AL24" s="29"/>
      <c r="AM24" s="29"/>
      <c r="AN24" s="30">
        <v>0.109</v>
      </c>
      <c r="AO24" s="30">
        <v>0.1108</v>
      </c>
      <c r="AP24" s="30">
        <v>0.1019</v>
      </c>
      <c r="AQ24" s="30"/>
      <c r="AR24" s="30"/>
      <c r="AS24" s="31" t="s">
        <v>22</v>
      </c>
      <c r="AT24" s="31" t="s">
        <v>22</v>
      </c>
      <c r="AU24" s="31" t="s">
        <v>22</v>
      </c>
      <c r="AV24" s="31"/>
      <c r="AW24" s="31"/>
      <c r="AX24" s="32" t="s">
        <v>22</v>
      </c>
      <c r="AY24" s="32" t="s">
        <v>22</v>
      </c>
      <c r="AZ24" s="32" t="s">
        <v>22</v>
      </c>
      <c r="BA24" s="33"/>
    </row>
    <row r="25" ht="15.5" customHeight="1" spans="1:53">
      <c r="A25" s="23" t="s">
        <v>121</v>
      </c>
      <c r="B25" s="23" t="s">
        <v>122</v>
      </c>
      <c r="C25" s="23" t="s">
        <v>123</v>
      </c>
      <c r="D25" s="24">
        <v>45827</v>
      </c>
      <c r="E25" s="25" t="s">
        <v>124</v>
      </c>
      <c r="F25" s="23" t="s">
        <v>20</v>
      </c>
      <c r="G25" s="23" t="s">
        <v>21</v>
      </c>
      <c r="H25" s="26">
        <v>0.0408</v>
      </c>
      <c r="I25" s="26"/>
      <c r="J25" s="26"/>
      <c r="K25" s="26">
        <v>0.0433</v>
      </c>
      <c r="L25" s="26"/>
      <c r="M25" s="26"/>
      <c r="N25" s="27">
        <v>2887338</v>
      </c>
      <c r="O25" s="27">
        <v>2690097.8</v>
      </c>
      <c r="P25" s="27">
        <v>2455931.2</v>
      </c>
      <c r="Q25" s="27">
        <v>2560965.2</v>
      </c>
      <c r="R25" s="27">
        <v>2478577.11</v>
      </c>
      <c r="S25" s="27"/>
      <c r="T25" s="27"/>
      <c r="U25" s="28">
        <v>704545.2</v>
      </c>
      <c r="V25" s="28">
        <v>635586.1</v>
      </c>
      <c r="W25" s="28">
        <v>564218.7</v>
      </c>
      <c r="X25" s="28">
        <v>620316.6</v>
      </c>
      <c r="Y25" s="28">
        <v>667147.05</v>
      </c>
      <c r="Z25" s="28"/>
      <c r="AA25" s="28"/>
      <c r="AB25" s="27">
        <v>703846.5</v>
      </c>
      <c r="AC25" s="27">
        <v>634412.6</v>
      </c>
      <c r="AD25" s="27">
        <v>562662.5</v>
      </c>
      <c r="AE25" s="27">
        <v>619771.7</v>
      </c>
      <c r="AF25" s="27">
        <v>667075.78</v>
      </c>
      <c r="AG25" s="27"/>
      <c r="AH25" s="27"/>
      <c r="AI25" s="29">
        <v>25.26</v>
      </c>
      <c r="AJ25" s="29" t="s">
        <v>22</v>
      </c>
      <c r="AK25" s="29" t="s">
        <v>22</v>
      </c>
      <c r="AL25" s="29"/>
      <c r="AM25" s="29"/>
      <c r="AN25" s="30">
        <v>0.2438</v>
      </c>
      <c r="AO25" s="30">
        <v>0.2358</v>
      </c>
      <c r="AP25" s="30">
        <v>0.2291</v>
      </c>
      <c r="AQ25" s="30"/>
      <c r="AR25" s="30"/>
      <c r="AS25" s="35">
        <v>0.037</v>
      </c>
      <c r="AT25" s="31" t="s">
        <v>22</v>
      </c>
      <c r="AU25" s="31" t="s">
        <v>22</v>
      </c>
      <c r="AV25" s="31"/>
      <c r="AW25" s="31"/>
      <c r="AX25" s="30">
        <v>0.8811</v>
      </c>
      <c r="AY25" s="32" t="s">
        <v>22</v>
      </c>
      <c r="AZ25" s="32" t="s">
        <v>22</v>
      </c>
      <c r="BA25" s="33"/>
    </row>
    <row r="26" ht="15.5" customHeight="1" spans="1:53">
      <c r="A26" s="23" t="s">
        <v>125</v>
      </c>
      <c r="B26" s="23" t="s">
        <v>126</v>
      </c>
      <c r="C26" s="23" t="s">
        <v>127</v>
      </c>
      <c r="D26" s="24">
        <v>45804</v>
      </c>
      <c r="E26" s="25" t="s">
        <v>128</v>
      </c>
      <c r="F26" s="23" t="s">
        <v>51</v>
      </c>
      <c r="G26" s="23" t="s">
        <v>32</v>
      </c>
      <c r="H26" s="26">
        <v>0.0773</v>
      </c>
      <c r="I26" s="26"/>
      <c r="J26" s="26"/>
      <c r="K26" s="26">
        <v>0.1459</v>
      </c>
      <c r="L26" s="26"/>
      <c r="M26" s="26"/>
      <c r="N26" s="27">
        <v>672161.2</v>
      </c>
      <c r="O26" s="27">
        <v>552925.9</v>
      </c>
      <c r="P26" s="27">
        <v>669468.1</v>
      </c>
      <c r="Q26" s="27">
        <v>537588.4</v>
      </c>
      <c r="R26" s="27">
        <v>517765.7</v>
      </c>
      <c r="S26" s="27"/>
      <c r="T26" s="27"/>
      <c r="U26" s="28">
        <v>33405</v>
      </c>
      <c r="V26" s="28">
        <v>18445</v>
      </c>
      <c r="W26" s="28">
        <v>33212.2</v>
      </c>
      <c r="X26" s="28">
        <v>17157.9</v>
      </c>
      <c r="Y26" s="28">
        <v>20888.7</v>
      </c>
      <c r="Z26" s="28"/>
      <c r="AA26" s="28"/>
      <c r="AB26" s="27">
        <v>27683.2</v>
      </c>
      <c r="AC26" s="27">
        <v>18193.1</v>
      </c>
      <c r="AD26" s="27">
        <v>34509.9</v>
      </c>
      <c r="AE26" s="27">
        <v>18398</v>
      </c>
      <c r="AF26" s="27">
        <v>22727.9</v>
      </c>
      <c r="AG26" s="27"/>
      <c r="AH26" s="27"/>
      <c r="AI26" s="29">
        <v>20.49</v>
      </c>
      <c r="AJ26" s="29" t="s">
        <v>22</v>
      </c>
      <c r="AK26" s="29" t="s">
        <v>22</v>
      </c>
      <c r="AL26" s="29"/>
      <c r="AM26" s="29"/>
      <c r="AN26" s="30">
        <v>0.0412</v>
      </c>
      <c r="AO26" s="30">
        <v>0.0329</v>
      </c>
      <c r="AP26" s="30">
        <v>0.0515</v>
      </c>
      <c r="AQ26" s="30"/>
      <c r="AR26" s="30"/>
      <c r="AS26" s="35">
        <v>0.0309</v>
      </c>
      <c r="AT26" s="31" t="s">
        <v>22</v>
      </c>
      <c r="AU26" s="31" t="s">
        <v>22</v>
      </c>
      <c r="AV26" s="31"/>
      <c r="AW26" s="31"/>
      <c r="AX26" s="30">
        <v>0.5867</v>
      </c>
      <c r="AY26" s="32" t="s">
        <v>22</v>
      </c>
      <c r="AZ26" s="32" t="s">
        <v>22</v>
      </c>
      <c r="BA26" s="33"/>
    </row>
    <row r="27" ht="15.5" customHeight="1" spans="1:53">
      <c r="A27" s="23" t="s">
        <v>129</v>
      </c>
      <c r="B27" s="23" t="s">
        <v>130</v>
      </c>
      <c r="C27" s="23" t="s">
        <v>131</v>
      </c>
      <c r="D27" s="24">
        <v>45793</v>
      </c>
      <c r="E27" s="25" t="s">
        <v>132</v>
      </c>
      <c r="F27" s="23" t="s">
        <v>73</v>
      </c>
      <c r="G27" s="23" t="s">
        <v>63</v>
      </c>
      <c r="H27" s="26">
        <v>0.261</v>
      </c>
      <c r="I27" s="26"/>
      <c r="J27" s="26"/>
      <c r="K27" s="26">
        <v>2.0844</v>
      </c>
      <c r="L27" s="26"/>
      <c r="M27" s="26"/>
      <c r="N27" s="27">
        <v>476296.7</v>
      </c>
      <c r="O27" s="27">
        <v>383820.2</v>
      </c>
      <c r="P27" s="27">
        <v>358917.8</v>
      </c>
      <c r="Q27" s="27">
        <v>237545.3</v>
      </c>
      <c r="R27" s="27">
        <v>229267.8</v>
      </c>
      <c r="S27" s="27"/>
      <c r="T27" s="27"/>
      <c r="U27" s="28">
        <v>48639.9</v>
      </c>
      <c r="V27" s="28">
        <v>35016.7</v>
      </c>
      <c r="W27" s="28">
        <v>29554.3</v>
      </c>
      <c r="X27" s="28">
        <v>1657.9</v>
      </c>
      <c r="Y27" s="28">
        <v>11385.6</v>
      </c>
      <c r="Z27" s="28"/>
      <c r="AA27" s="28"/>
      <c r="AB27" s="27">
        <v>48648.1</v>
      </c>
      <c r="AC27" s="27">
        <v>35016.7</v>
      </c>
      <c r="AD27" s="27">
        <v>29554.3</v>
      </c>
      <c r="AE27" s="27">
        <v>1657.9</v>
      </c>
      <c r="AF27" s="27">
        <v>11385.6</v>
      </c>
      <c r="AG27" s="27"/>
      <c r="AH27" s="27"/>
      <c r="AI27" s="29">
        <v>9.93</v>
      </c>
      <c r="AJ27" s="29" t="s">
        <v>22</v>
      </c>
      <c r="AK27" s="29" t="s">
        <v>22</v>
      </c>
      <c r="AL27" s="29"/>
      <c r="AM27" s="29"/>
      <c r="AN27" s="30">
        <v>0.1021</v>
      </c>
      <c r="AO27" s="30">
        <v>0.0912</v>
      </c>
      <c r="AP27" s="30">
        <v>0.0823</v>
      </c>
      <c r="AQ27" s="30"/>
      <c r="AR27" s="30"/>
      <c r="AS27" s="35">
        <v>0.1284</v>
      </c>
      <c r="AT27" s="31" t="s">
        <v>22</v>
      </c>
      <c r="AU27" s="31" t="s">
        <v>22</v>
      </c>
      <c r="AV27" s="31"/>
      <c r="AW27" s="31"/>
      <c r="AX27" s="30">
        <v>1.0408</v>
      </c>
      <c r="AY27" s="32" t="s">
        <v>22</v>
      </c>
      <c r="AZ27" s="32" t="s">
        <v>22</v>
      </c>
      <c r="BA27" s="33"/>
    </row>
    <row r="28" ht="15.5" customHeight="1" spans="1:53">
      <c r="A28" s="23" t="s">
        <v>133</v>
      </c>
      <c r="B28" s="23" t="s">
        <v>134</v>
      </c>
      <c r="C28" s="23" t="s">
        <v>135</v>
      </c>
      <c r="D28" s="24">
        <v>45785</v>
      </c>
      <c r="E28" s="25" t="s">
        <v>136</v>
      </c>
      <c r="F28" s="23" t="s">
        <v>73</v>
      </c>
      <c r="G28" s="23" t="s">
        <v>21</v>
      </c>
      <c r="H28" s="26">
        <v>0.2663</v>
      </c>
      <c r="I28" s="26"/>
      <c r="J28" s="26"/>
      <c r="K28" s="26">
        <v>0.4969</v>
      </c>
      <c r="L28" s="26"/>
      <c r="M28" s="26"/>
      <c r="N28" s="27">
        <v>446564.4</v>
      </c>
      <c r="O28" s="27">
        <v>328457.6</v>
      </c>
      <c r="P28" s="27">
        <v>334820.1</v>
      </c>
      <c r="Q28" s="27">
        <v>219900.5</v>
      </c>
      <c r="R28" s="27">
        <v>164044.2</v>
      </c>
      <c r="S28" s="27"/>
      <c r="T28" s="27"/>
      <c r="U28" s="28">
        <v>50131.7</v>
      </c>
      <c r="V28" s="28">
        <v>32893.1</v>
      </c>
      <c r="W28" s="28">
        <v>38790.2</v>
      </c>
      <c r="X28" s="28">
        <v>14947</v>
      </c>
      <c r="Y28" s="28">
        <v>8339.9</v>
      </c>
      <c r="Z28" s="28"/>
      <c r="AA28" s="28"/>
      <c r="AB28" s="27">
        <v>50131.7</v>
      </c>
      <c r="AC28" s="27">
        <v>32893.1</v>
      </c>
      <c r="AD28" s="27">
        <v>38790.2</v>
      </c>
      <c r="AE28" s="27">
        <v>14947</v>
      </c>
      <c r="AF28" s="27">
        <v>8339.9</v>
      </c>
      <c r="AG28" s="27"/>
      <c r="AH28" s="27"/>
      <c r="AI28" s="29">
        <v>22.56</v>
      </c>
      <c r="AJ28" s="29" t="s">
        <v>22</v>
      </c>
      <c r="AK28" s="29" t="s">
        <v>22</v>
      </c>
      <c r="AL28" s="29"/>
      <c r="AM28" s="29"/>
      <c r="AN28" s="30">
        <v>0.1123</v>
      </c>
      <c r="AO28" s="30">
        <v>0.1001</v>
      </c>
      <c r="AP28" s="30">
        <v>0.1159</v>
      </c>
      <c r="AQ28" s="30"/>
      <c r="AR28" s="30"/>
      <c r="AS28" s="35">
        <v>0.0221</v>
      </c>
      <c r="AT28" s="31" t="s">
        <v>22</v>
      </c>
      <c r="AU28" s="31" t="s">
        <v>22</v>
      </c>
      <c r="AV28" s="31"/>
      <c r="AW28" s="31"/>
      <c r="AX28" s="30">
        <v>0.3515</v>
      </c>
      <c r="AY28" s="32" t="s">
        <v>22</v>
      </c>
      <c r="AZ28" s="32" t="s">
        <v>22</v>
      </c>
      <c r="BA28" s="33"/>
    </row>
    <row r="29" ht="15.5" customHeight="1" spans="1:53">
      <c r="A29" s="23" t="s">
        <v>137</v>
      </c>
      <c r="B29" s="23" t="s">
        <v>138</v>
      </c>
      <c r="C29" s="23" t="s">
        <v>139</v>
      </c>
      <c r="D29" s="24">
        <v>45747</v>
      </c>
      <c r="E29" s="25" t="s">
        <v>140</v>
      </c>
      <c r="F29" s="23" t="s">
        <v>31</v>
      </c>
      <c r="G29" s="23" t="s">
        <v>82</v>
      </c>
      <c r="H29" s="26">
        <v>0.0513</v>
      </c>
      <c r="I29" s="26"/>
      <c r="J29" s="26"/>
      <c r="K29" s="26">
        <v>-0.0987</v>
      </c>
      <c r="L29" s="26"/>
      <c r="M29" s="26"/>
      <c r="N29" s="27">
        <v>154396.2</v>
      </c>
      <c r="O29" s="27">
        <v>135092.5</v>
      </c>
      <c r="P29" s="27">
        <v>140197.2</v>
      </c>
      <c r="Q29" s="27">
        <v>132868.5</v>
      </c>
      <c r="R29" s="27">
        <v>143219.3</v>
      </c>
      <c r="S29" s="27"/>
      <c r="T29" s="27"/>
      <c r="U29" s="28">
        <v>3823.8</v>
      </c>
      <c r="V29" s="28">
        <v>4397.5</v>
      </c>
      <c r="W29" s="28">
        <v>5160.2</v>
      </c>
      <c r="X29" s="28">
        <v>5106.5</v>
      </c>
      <c r="Y29" s="28">
        <v>3508</v>
      </c>
      <c r="Z29" s="28"/>
      <c r="AA29" s="28"/>
      <c r="AB29" s="27">
        <v>3662.8</v>
      </c>
      <c r="AC29" s="27">
        <v>4272.2</v>
      </c>
      <c r="AD29" s="27">
        <v>5008.8</v>
      </c>
      <c r="AE29" s="27">
        <v>5002.9</v>
      </c>
      <c r="AF29" s="27">
        <v>3605.6</v>
      </c>
      <c r="AG29" s="27"/>
      <c r="AH29" s="27"/>
      <c r="AI29" s="29">
        <v>26.1</v>
      </c>
      <c r="AJ29" s="29" t="s">
        <v>22</v>
      </c>
      <c r="AK29" s="29" t="s">
        <v>22</v>
      </c>
      <c r="AL29" s="29"/>
      <c r="AM29" s="29"/>
      <c r="AN29" s="30">
        <v>0.0237</v>
      </c>
      <c r="AO29" s="30">
        <v>0.0316</v>
      </c>
      <c r="AP29" s="30">
        <v>0.0357</v>
      </c>
      <c r="AQ29" s="30"/>
      <c r="AR29" s="30"/>
      <c r="AS29" s="31" t="s">
        <v>22</v>
      </c>
      <c r="AT29" s="31" t="s">
        <v>22</v>
      </c>
      <c r="AU29" s="31" t="s">
        <v>22</v>
      </c>
      <c r="AV29" s="31"/>
      <c r="AW29" s="31"/>
      <c r="AX29" s="32" t="s">
        <v>22</v>
      </c>
      <c r="AY29" s="32" t="s">
        <v>22</v>
      </c>
      <c r="AZ29" s="32" t="s">
        <v>22</v>
      </c>
      <c r="BA29" s="33"/>
    </row>
    <row r="30" ht="15.5" customHeight="1" spans="1:53">
      <c r="A30" s="23" t="s">
        <v>141</v>
      </c>
      <c r="B30" s="23" t="s">
        <v>142</v>
      </c>
      <c r="C30" s="23" t="s">
        <v>143</v>
      </c>
      <c r="D30" s="24">
        <v>45743</v>
      </c>
      <c r="E30" s="25" t="s">
        <v>144</v>
      </c>
      <c r="F30" s="23" t="s">
        <v>56</v>
      </c>
      <c r="G30" s="23" t="s">
        <v>82</v>
      </c>
      <c r="H30" s="26">
        <v>0.3043</v>
      </c>
      <c r="I30" s="26"/>
      <c r="J30" s="26"/>
      <c r="K30" s="26">
        <v>0.1009</v>
      </c>
      <c r="L30" s="26"/>
      <c r="M30" s="26"/>
      <c r="N30" s="27">
        <v>90547.4</v>
      </c>
      <c r="O30" s="27">
        <v>75283.1</v>
      </c>
      <c r="P30" s="27">
        <v>65456</v>
      </c>
      <c r="Q30" s="27">
        <v>40806.6</v>
      </c>
      <c r="R30" s="27">
        <v>26322.6</v>
      </c>
      <c r="S30" s="27"/>
      <c r="T30" s="27"/>
      <c r="U30" s="28">
        <v>5585.1</v>
      </c>
      <c r="V30" s="28">
        <v>5475.1</v>
      </c>
      <c r="W30" s="28">
        <v>5768.9</v>
      </c>
      <c r="X30" s="28">
        <v>4185.9</v>
      </c>
      <c r="Y30" s="28">
        <v>1000.2</v>
      </c>
      <c r="Z30" s="28"/>
      <c r="AA30" s="28"/>
      <c r="AB30" s="27">
        <v>5585.1</v>
      </c>
      <c r="AC30" s="27">
        <v>5475.1</v>
      </c>
      <c r="AD30" s="27">
        <v>5890</v>
      </c>
      <c r="AE30" s="27">
        <v>4186</v>
      </c>
      <c r="AF30" s="27">
        <v>1000.6</v>
      </c>
      <c r="AG30" s="27"/>
      <c r="AH30" s="27"/>
      <c r="AI30" s="29">
        <v>14.77</v>
      </c>
      <c r="AJ30" s="29" t="s">
        <v>22</v>
      </c>
      <c r="AK30" s="29" t="s">
        <v>22</v>
      </c>
      <c r="AL30" s="29"/>
      <c r="AM30" s="29"/>
      <c r="AN30" s="30">
        <v>0.0617</v>
      </c>
      <c r="AO30" s="30">
        <v>0.0727</v>
      </c>
      <c r="AP30" s="30">
        <v>0.09</v>
      </c>
      <c r="AQ30" s="30"/>
      <c r="AR30" s="30"/>
      <c r="AS30" s="31" t="s">
        <v>22</v>
      </c>
      <c r="AT30" s="31" t="s">
        <v>22</v>
      </c>
      <c r="AU30" s="31" t="s">
        <v>22</v>
      </c>
      <c r="AV30" s="31"/>
      <c r="AW30" s="31"/>
      <c r="AX30" s="32" t="s">
        <v>22</v>
      </c>
      <c r="AY30" s="32" t="s">
        <v>22</v>
      </c>
      <c r="AZ30" s="32" t="s">
        <v>22</v>
      </c>
      <c r="BA30" s="33"/>
    </row>
    <row r="31" ht="15.5" customHeight="1" spans="1:53">
      <c r="A31" s="23" t="s">
        <v>145</v>
      </c>
      <c r="B31" s="23" t="s">
        <v>146</v>
      </c>
      <c r="C31" s="23" t="s">
        <v>147</v>
      </c>
      <c r="D31" s="24">
        <v>45719</v>
      </c>
      <c r="E31" s="25" t="s">
        <v>148</v>
      </c>
      <c r="F31" s="23" t="s">
        <v>73</v>
      </c>
      <c r="G31" s="23" t="s">
        <v>21</v>
      </c>
      <c r="H31" s="26">
        <v>0.3521</v>
      </c>
      <c r="I31" s="26"/>
      <c r="J31" s="26"/>
      <c r="K31" s="26">
        <v>0.4339</v>
      </c>
      <c r="L31" s="26"/>
      <c r="M31" s="26"/>
      <c r="N31" s="27">
        <v>3355992.3</v>
      </c>
      <c r="O31" s="27">
        <v>2482887.4</v>
      </c>
      <c r="P31" s="27">
        <v>2030246.5</v>
      </c>
      <c r="Q31" s="27">
        <v>1357557.7</v>
      </c>
      <c r="R31" s="27">
        <v>1035098.6</v>
      </c>
      <c r="S31" s="27"/>
      <c r="T31" s="27"/>
      <c r="U31" s="28">
        <v>592707.7</v>
      </c>
      <c r="V31" s="28">
        <v>445420.3</v>
      </c>
      <c r="W31" s="28">
        <v>318660.5</v>
      </c>
      <c r="X31" s="28">
        <v>201309.1</v>
      </c>
      <c r="Y31" s="28">
        <v>191194.2</v>
      </c>
      <c r="Z31" s="28"/>
      <c r="AA31" s="28"/>
      <c r="AB31" s="27">
        <v>588670.4</v>
      </c>
      <c r="AC31" s="27">
        <v>443650.4</v>
      </c>
      <c r="AD31" s="27">
        <v>313734.1</v>
      </c>
      <c r="AE31" s="27">
        <v>199671.5</v>
      </c>
      <c r="AF31" s="27">
        <v>191036.1</v>
      </c>
      <c r="AG31" s="27"/>
      <c r="AH31" s="27"/>
      <c r="AI31" s="29">
        <v>27.05</v>
      </c>
      <c r="AJ31" s="29" t="s">
        <v>22</v>
      </c>
      <c r="AK31" s="29" t="s">
        <v>22</v>
      </c>
      <c r="AL31" s="29"/>
      <c r="AM31" s="29"/>
      <c r="AN31" s="30">
        <v>0.1754</v>
      </c>
      <c r="AO31" s="30">
        <v>0.1787</v>
      </c>
      <c r="AP31" s="30">
        <v>0.1545</v>
      </c>
      <c r="AQ31" s="30"/>
      <c r="AR31" s="30"/>
      <c r="AS31" s="31" t="s">
        <v>22</v>
      </c>
      <c r="AT31" s="31" t="s">
        <v>22</v>
      </c>
      <c r="AU31" s="31" t="s">
        <v>22</v>
      </c>
      <c r="AV31" s="31"/>
      <c r="AW31" s="31"/>
      <c r="AX31" s="32" t="s">
        <v>22</v>
      </c>
      <c r="AY31" s="32" t="s">
        <v>22</v>
      </c>
      <c r="AZ31" s="32" t="s">
        <v>22</v>
      </c>
      <c r="BA31" s="33"/>
    </row>
    <row r="32" ht="15.5" customHeight="1" spans="1:53">
      <c r="A32" s="23" t="s">
        <v>149</v>
      </c>
      <c r="B32" s="23" t="s">
        <v>150</v>
      </c>
      <c r="C32" s="23" t="s">
        <v>151</v>
      </c>
      <c r="D32" s="24">
        <v>45700</v>
      </c>
      <c r="E32" s="25" t="s">
        <v>152</v>
      </c>
      <c r="F32" s="23" t="s">
        <v>73</v>
      </c>
      <c r="G32" s="23" t="s">
        <v>21</v>
      </c>
      <c r="H32" s="26">
        <v>0.3244</v>
      </c>
      <c r="I32" s="26"/>
      <c r="J32" s="26"/>
      <c r="K32" s="26">
        <v>1.0393</v>
      </c>
      <c r="L32" s="26"/>
      <c r="M32" s="26"/>
      <c r="N32" s="27">
        <v>1291377.4</v>
      </c>
      <c r="O32" s="27">
        <v>879135.5</v>
      </c>
      <c r="P32" s="27">
        <v>767566.5</v>
      </c>
      <c r="Q32" s="27">
        <v>555922.2</v>
      </c>
      <c r="R32" s="27">
        <v>438390.1</v>
      </c>
      <c r="S32" s="27"/>
      <c r="T32" s="27"/>
      <c r="U32" s="28">
        <v>311548.9</v>
      </c>
      <c r="V32" s="28">
        <v>149321.8</v>
      </c>
      <c r="W32" s="28">
        <v>109635.4</v>
      </c>
      <c r="X32" s="28">
        <v>37202.5</v>
      </c>
      <c r="Y32" s="28">
        <v>2399.2</v>
      </c>
      <c r="Z32" s="28"/>
      <c r="AA32" s="28"/>
      <c r="AB32" s="27">
        <v>310911.8</v>
      </c>
      <c r="AC32" s="27">
        <v>147850.7</v>
      </c>
      <c r="AD32" s="27">
        <v>107962.8</v>
      </c>
      <c r="AE32" s="27">
        <v>36661.9</v>
      </c>
      <c r="AF32" s="27">
        <v>2013.9</v>
      </c>
      <c r="AG32" s="27"/>
      <c r="AH32" s="27"/>
      <c r="AI32" s="29">
        <v>22.67</v>
      </c>
      <c r="AJ32" s="29" t="s">
        <v>22</v>
      </c>
      <c r="AK32" s="29" t="s">
        <v>22</v>
      </c>
      <c r="AL32" s="29"/>
      <c r="AM32" s="29"/>
      <c r="AN32" s="30">
        <v>0.2408</v>
      </c>
      <c r="AO32" s="30">
        <v>0.1682</v>
      </c>
      <c r="AP32" s="30">
        <v>0.1407</v>
      </c>
      <c r="AQ32" s="30"/>
      <c r="AR32" s="30"/>
      <c r="AS32" s="35">
        <v>0.0577</v>
      </c>
      <c r="AT32" s="31" t="s">
        <v>22</v>
      </c>
      <c r="AU32" s="31" t="s">
        <v>22</v>
      </c>
      <c r="AV32" s="31"/>
      <c r="AW32" s="31"/>
      <c r="AX32" s="30">
        <v>0.9785</v>
      </c>
      <c r="AY32" s="32" t="s">
        <v>22</v>
      </c>
      <c r="AZ32" s="32" t="s">
        <v>22</v>
      </c>
      <c r="BA32" s="33"/>
    </row>
    <row r="33" ht="15.5" customHeight="1" spans="1:53">
      <c r="A33" s="23" t="s">
        <v>153</v>
      </c>
      <c r="B33" s="23" t="s">
        <v>154</v>
      </c>
      <c r="C33" s="23" t="s">
        <v>155</v>
      </c>
      <c r="D33" s="24">
        <v>45667</v>
      </c>
      <c r="E33" s="25" t="s">
        <v>156</v>
      </c>
      <c r="F33" s="23" t="s">
        <v>37</v>
      </c>
      <c r="G33" s="23" t="s">
        <v>38</v>
      </c>
      <c r="H33" s="26">
        <v>1.0761</v>
      </c>
      <c r="I33" s="26"/>
      <c r="J33" s="26"/>
      <c r="K33" s="26">
        <v>0.5196</v>
      </c>
      <c r="L33" s="26"/>
      <c r="M33" s="26"/>
      <c r="N33" s="27">
        <v>291333.8</v>
      </c>
      <c r="O33" s="27">
        <v>224092.9</v>
      </c>
      <c r="P33" s="27">
        <v>87668.6</v>
      </c>
      <c r="Q33" s="27">
        <v>32557.4</v>
      </c>
      <c r="R33" s="27">
        <v>32977.2</v>
      </c>
      <c r="S33" s="27"/>
      <c r="T33" s="27"/>
      <c r="U33" s="28">
        <v>63373.7</v>
      </c>
      <c r="V33" s="28">
        <v>-39804.4</v>
      </c>
      <c r="W33" s="28">
        <v>-20748.1</v>
      </c>
      <c r="X33" s="28">
        <v>-42270.5</v>
      </c>
      <c r="Y33" s="28">
        <v>-50685.3</v>
      </c>
      <c r="Z33" s="28"/>
      <c r="AA33" s="28"/>
      <c r="AB33" s="27">
        <v>63373.7</v>
      </c>
      <c r="AC33" s="27">
        <v>-40104.7</v>
      </c>
      <c r="AD33" s="27">
        <v>-20610</v>
      </c>
      <c r="AE33" s="27">
        <v>-41988.6</v>
      </c>
      <c r="AF33" s="27">
        <v>-50259.4</v>
      </c>
      <c r="AG33" s="27"/>
      <c r="AH33" s="27"/>
      <c r="AI33" s="29">
        <v>99.24</v>
      </c>
      <c r="AJ33" s="29" t="s">
        <v>22</v>
      </c>
      <c r="AK33" s="29" t="s">
        <v>22</v>
      </c>
      <c r="AL33" s="29"/>
      <c r="AM33" s="29"/>
      <c r="AN33" s="30">
        <v>0.2175</v>
      </c>
      <c r="AO33" s="30">
        <v>-0.179</v>
      </c>
      <c r="AP33" s="30">
        <v>-0.2351</v>
      </c>
      <c r="AQ33" s="30"/>
      <c r="AR33" s="30"/>
      <c r="AS33" s="31" t="s">
        <v>22</v>
      </c>
      <c r="AT33" s="31" t="s">
        <v>22</v>
      </c>
      <c r="AU33" s="31" t="s">
        <v>22</v>
      </c>
      <c r="AV33" s="31"/>
      <c r="AW33" s="31"/>
      <c r="AX33" s="32" t="s">
        <v>22</v>
      </c>
      <c r="AY33" s="32" t="s">
        <v>22</v>
      </c>
      <c r="AZ33" s="32" t="s">
        <v>22</v>
      </c>
      <c r="BA33" s="33"/>
    </row>
    <row r="34" ht="15.5" customHeight="1" spans="1:53">
      <c r="A34" s="23" t="s">
        <v>157</v>
      </c>
      <c r="B34" s="23" t="s">
        <v>158</v>
      </c>
      <c r="C34" s="23" t="s">
        <v>159</v>
      </c>
      <c r="D34" s="24">
        <v>45646</v>
      </c>
      <c r="E34" s="25" t="s">
        <v>160</v>
      </c>
      <c r="F34" s="23" t="s">
        <v>73</v>
      </c>
      <c r="G34" s="23" t="s">
        <v>63</v>
      </c>
      <c r="H34" s="26">
        <v>0.1848</v>
      </c>
      <c r="I34" s="26"/>
      <c r="J34" s="26"/>
      <c r="K34" s="26">
        <v>0.4438</v>
      </c>
      <c r="L34" s="26"/>
      <c r="M34" s="26"/>
      <c r="N34" s="27">
        <v>534509.1</v>
      </c>
      <c r="O34" s="27">
        <v>520987.4</v>
      </c>
      <c r="P34" s="27">
        <v>454941.5</v>
      </c>
      <c r="Q34" s="27">
        <v>321342</v>
      </c>
      <c r="R34" s="27">
        <v>264577.3</v>
      </c>
      <c r="S34" s="27"/>
      <c r="T34" s="27"/>
      <c r="U34" s="28">
        <v>71509.2</v>
      </c>
      <c r="V34" s="28">
        <v>58062.2</v>
      </c>
      <c r="W34" s="28">
        <v>53205.9</v>
      </c>
      <c r="X34" s="28">
        <v>23757.4</v>
      </c>
      <c r="Y34" s="28">
        <v>22711.9</v>
      </c>
      <c r="Z34" s="28"/>
      <c r="AA34" s="28"/>
      <c r="AB34" s="27">
        <v>71509.2</v>
      </c>
      <c r="AC34" s="27">
        <v>58062.2</v>
      </c>
      <c r="AD34" s="27">
        <v>53205.9</v>
      </c>
      <c r="AE34" s="27">
        <v>23757.4</v>
      </c>
      <c r="AF34" s="27">
        <v>22711.9</v>
      </c>
      <c r="AG34" s="27"/>
      <c r="AH34" s="27"/>
      <c r="AI34" s="29">
        <v>15.08</v>
      </c>
      <c r="AJ34" s="29">
        <v>18.42</v>
      </c>
      <c r="AK34" s="29" t="s">
        <v>22</v>
      </c>
      <c r="AL34" s="29"/>
      <c r="AM34" s="29"/>
      <c r="AN34" s="30">
        <v>0.1338</v>
      </c>
      <c r="AO34" s="30">
        <v>0.1114</v>
      </c>
      <c r="AP34" s="30">
        <v>0.117</v>
      </c>
      <c r="AQ34" s="30"/>
      <c r="AR34" s="30"/>
      <c r="AS34" s="35">
        <v>0.0506</v>
      </c>
      <c r="AT34" s="35">
        <v>0.0376</v>
      </c>
      <c r="AU34" s="31" t="s">
        <v>22</v>
      </c>
      <c r="AV34" s="31"/>
      <c r="AW34" s="31"/>
      <c r="AX34" s="30">
        <v>0.6997</v>
      </c>
      <c r="AY34" s="30">
        <v>0.6451</v>
      </c>
      <c r="AZ34" s="32" t="s">
        <v>22</v>
      </c>
      <c r="BA34" s="33"/>
    </row>
    <row r="35" ht="15.5" customHeight="1" spans="1:53">
      <c r="A35" s="23" t="s">
        <v>161</v>
      </c>
      <c r="B35" s="23" t="s">
        <v>162</v>
      </c>
      <c r="C35" s="23" t="s">
        <v>163</v>
      </c>
      <c r="D35" s="24">
        <v>45645</v>
      </c>
      <c r="E35" s="25" t="s">
        <v>164</v>
      </c>
      <c r="F35" s="23" t="s">
        <v>56</v>
      </c>
      <c r="G35" s="23" t="s">
        <v>57</v>
      </c>
      <c r="H35" s="26">
        <v>0.0346</v>
      </c>
      <c r="I35" s="34"/>
      <c r="J35" s="34"/>
      <c r="K35" s="34" t="s">
        <v>165</v>
      </c>
      <c r="L35" s="34"/>
      <c r="M35" s="34"/>
      <c r="N35" s="27">
        <v>20581.49</v>
      </c>
      <c r="O35" s="27">
        <v>22733.36</v>
      </c>
      <c r="P35" s="27">
        <v>22766.42</v>
      </c>
      <c r="Q35" s="27">
        <v>18582.52</v>
      </c>
      <c r="R35" s="27">
        <v>15423.04</v>
      </c>
      <c r="S35" s="27"/>
      <c r="T35" s="27"/>
      <c r="U35" s="28">
        <v>-2078.22</v>
      </c>
      <c r="V35" s="28">
        <v>1200.61</v>
      </c>
      <c r="W35" s="28">
        <v>3579.75</v>
      </c>
      <c r="X35" s="28">
        <v>2498.65</v>
      </c>
      <c r="Y35" s="28">
        <v>1895.28</v>
      </c>
      <c r="Z35" s="28"/>
      <c r="AA35" s="28"/>
      <c r="AB35" s="27">
        <v>-2078.22</v>
      </c>
      <c r="AC35" s="27">
        <v>1200.61</v>
      </c>
      <c r="AD35" s="27">
        <v>3579.75</v>
      </c>
      <c r="AE35" s="27">
        <v>2498.65</v>
      </c>
      <c r="AF35" s="27">
        <v>1895.28</v>
      </c>
      <c r="AG35" s="27"/>
      <c r="AH35" s="27"/>
      <c r="AI35" s="29">
        <v>-76.64</v>
      </c>
      <c r="AJ35" s="29">
        <v>12.92</v>
      </c>
      <c r="AK35" s="29" t="s">
        <v>22</v>
      </c>
      <c r="AL35" s="29"/>
      <c r="AM35" s="29"/>
      <c r="AN35" s="30">
        <v>-0.101</v>
      </c>
      <c r="AO35" s="30">
        <v>0.0528</v>
      </c>
      <c r="AP35" s="30">
        <v>0.1572</v>
      </c>
      <c r="AQ35" s="30"/>
      <c r="AR35" s="30"/>
      <c r="AS35" s="31" t="s">
        <v>22</v>
      </c>
      <c r="AT35" s="35">
        <v>0.054</v>
      </c>
      <c r="AU35" s="31" t="s">
        <v>22</v>
      </c>
      <c r="AV35" s="31"/>
      <c r="AW35" s="31"/>
      <c r="AX35" s="32" t="s">
        <v>22</v>
      </c>
      <c r="AY35" s="30">
        <v>1.5426</v>
      </c>
      <c r="AZ35" s="32" t="s">
        <v>22</v>
      </c>
      <c r="BA35" s="33"/>
    </row>
    <row r="36" ht="15.5" customHeight="1" spans="1:53">
      <c r="A36" s="23" t="s">
        <v>166</v>
      </c>
      <c r="B36" s="23" t="s">
        <v>167</v>
      </c>
      <c r="C36" s="23" t="s">
        <v>168</v>
      </c>
      <c r="D36" s="24">
        <v>45636</v>
      </c>
      <c r="E36" s="25" t="s">
        <v>169</v>
      </c>
      <c r="F36" s="23" t="s">
        <v>56</v>
      </c>
      <c r="G36" s="23" t="s">
        <v>57</v>
      </c>
      <c r="H36" s="26">
        <v>0.4029</v>
      </c>
      <c r="I36" s="26"/>
      <c r="J36" s="26"/>
      <c r="K36" s="26">
        <v>0.5066</v>
      </c>
      <c r="L36" s="26"/>
      <c r="M36" s="26"/>
      <c r="N36" s="27">
        <v>505045.5</v>
      </c>
      <c r="O36" s="27">
        <v>388469.4</v>
      </c>
      <c r="P36" s="27">
        <v>288596.4</v>
      </c>
      <c r="Q36" s="27">
        <v>182911.2</v>
      </c>
      <c r="R36" s="27">
        <v>157734.7</v>
      </c>
      <c r="S36" s="27"/>
      <c r="T36" s="27"/>
      <c r="U36" s="28">
        <v>120544</v>
      </c>
      <c r="V36" s="28">
        <v>88132.9</v>
      </c>
      <c r="W36" s="28">
        <v>66347</v>
      </c>
      <c r="X36" s="28">
        <v>35209.5</v>
      </c>
      <c r="Y36" s="28">
        <v>33094.3</v>
      </c>
      <c r="Z36" s="28"/>
      <c r="AA36" s="28"/>
      <c r="AB36" s="27">
        <v>120409.4</v>
      </c>
      <c r="AC36" s="27">
        <v>88061.1</v>
      </c>
      <c r="AD36" s="27">
        <v>66192.8</v>
      </c>
      <c r="AE36" s="27">
        <v>35208.2</v>
      </c>
      <c r="AF36" s="27">
        <v>33101.6</v>
      </c>
      <c r="AG36" s="27"/>
      <c r="AH36" s="27"/>
      <c r="AI36" s="29">
        <v>34.51</v>
      </c>
      <c r="AJ36" s="29">
        <v>31.59</v>
      </c>
      <c r="AK36" s="29" t="s">
        <v>22</v>
      </c>
      <c r="AL36" s="29"/>
      <c r="AM36" s="29"/>
      <c r="AN36" s="30">
        <v>0.2384</v>
      </c>
      <c r="AO36" s="30">
        <v>0.2267</v>
      </c>
      <c r="AP36" s="30">
        <v>0.2294</v>
      </c>
      <c r="AQ36" s="30"/>
      <c r="AR36" s="30"/>
      <c r="AS36" s="35">
        <v>0.014</v>
      </c>
      <c r="AT36" s="35">
        <v>0.0133</v>
      </c>
      <c r="AU36" s="31" t="s">
        <v>22</v>
      </c>
      <c r="AV36" s="31"/>
      <c r="AW36" s="31"/>
      <c r="AX36" s="30">
        <v>0.4065</v>
      </c>
      <c r="AY36" s="30">
        <v>0.3982</v>
      </c>
      <c r="AZ36" s="32" t="s">
        <v>22</v>
      </c>
      <c r="BA36" s="33"/>
    </row>
    <row r="37" ht="15.5" customHeight="1" spans="1:53">
      <c r="A37" s="23" t="s">
        <v>170</v>
      </c>
      <c r="B37" s="23" t="s">
        <v>171</v>
      </c>
      <c r="C37" s="23" t="s">
        <v>172</v>
      </c>
      <c r="D37" s="24">
        <v>45625</v>
      </c>
      <c r="E37" s="25" t="s">
        <v>173</v>
      </c>
      <c r="F37" s="23" t="s">
        <v>174</v>
      </c>
      <c r="G37" s="23" t="s">
        <v>32</v>
      </c>
      <c r="H37" s="26">
        <v>0.0961</v>
      </c>
      <c r="I37" s="26"/>
      <c r="J37" s="26"/>
      <c r="K37" s="26">
        <v>-0.1888</v>
      </c>
      <c r="L37" s="26"/>
      <c r="M37" s="26"/>
      <c r="N37" s="27">
        <v>2070956.7</v>
      </c>
      <c r="O37" s="27">
        <v>1971288.5</v>
      </c>
      <c r="P37" s="27">
        <v>2020859.9</v>
      </c>
      <c r="Q37" s="27">
        <v>1572421.5</v>
      </c>
      <c r="R37" s="27">
        <v>1687100</v>
      </c>
      <c r="S37" s="27"/>
      <c r="T37" s="27"/>
      <c r="U37" s="28">
        <v>10994.6</v>
      </c>
      <c r="V37" s="28">
        <v>20073.7</v>
      </c>
      <c r="W37" s="28">
        <v>23347.2</v>
      </c>
      <c r="X37" s="28">
        <v>18075.6</v>
      </c>
      <c r="Y37" s="28">
        <v>22449.8</v>
      </c>
      <c r="Z37" s="28"/>
      <c r="AA37" s="28"/>
      <c r="AB37" s="27">
        <v>9652.1</v>
      </c>
      <c r="AC37" s="27">
        <v>18936.1</v>
      </c>
      <c r="AD37" s="27">
        <v>23037.5</v>
      </c>
      <c r="AE37" s="27">
        <v>18082.5</v>
      </c>
      <c r="AF37" s="27">
        <v>22061.8</v>
      </c>
      <c r="AG37" s="27"/>
      <c r="AH37" s="27"/>
      <c r="AI37" s="29">
        <v>53.65</v>
      </c>
      <c r="AJ37" s="29">
        <v>17.91</v>
      </c>
      <c r="AK37" s="29" t="s">
        <v>22</v>
      </c>
      <c r="AL37" s="29"/>
      <c r="AM37" s="29"/>
      <c r="AN37" s="30">
        <v>0.0047</v>
      </c>
      <c r="AO37" s="30">
        <v>0.0096</v>
      </c>
      <c r="AP37" s="30">
        <v>0.0114</v>
      </c>
      <c r="AQ37" s="30"/>
      <c r="AR37" s="30"/>
      <c r="AS37" s="35">
        <v>0.0222</v>
      </c>
      <c r="AT37" s="35">
        <v>0.0261</v>
      </c>
      <c r="AU37" s="31" t="s">
        <v>22</v>
      </c>
      <c r="AV37" s="31"/>
      <c r="AW37" s="31"/>
      <c r="AX37" s="30">
        <v>0.8484</v>
      </c>
      <c r="AY37" s="30">
        <v>0.4313</v>
      </c>
      <c r="AZ37" s="32" t="s">
        <v>22</v>
      </c>
      <c r="BA37" s="33"/>
    </row>
    <row r="38" ht="15.5" customHeight="1" spans="1:53">
      <c r="A38" s="23" t="s">
        <v>175</v>
      </c>
      <c r="B38" s="23" t="s">
        <v>176</v>
      </c>
      <c r="C38" s="23" t="s">
        <v>177</v>
      </c>
      <c r="D38" s="24">
        <v>45604</v>
      </c>
      <c r="E38" s="25" t="s">
        <v>178</v>
      </c>
      <c r="F38" s="23" t="s">
        <v>51</v>
      </c>
      <c r="G38" s="23" t="s">
        <v>32</v>
      </c>
      <c r="H38" s="26">
        <v>0.2449</v>
      </c>
      <c r="I38" s="26"/>
      <c r="J38" s="26"/>
      <c r="K38" s="26">
        <v>-0.0973</v>
      </c>
      <c r="L38" s="26"/>
      <c r="M38" s="26"/>
      <c r="N38" s="27">
        <v>1369873.8</v>
      </c>
      <c r="O38" s="27">
        <v>1070964.8</v>
      </c>
      <c r="P38" s="27">
        <v>868297.7</v>
      </c>
      <c r="Q38" s="27">
        <v>710023</v>
      </c>
      <c r="R38" s="27">
        <v>907119.3</v>
      </c>
      <c r="S38" s="27"/>
      <c r="T38" s="27"/>
      <c r="U38" s="28">
        <v>15258.6</v>
      </c>
      <c r="V38" s="28">
        <v>52119.6</v>
      </c>
      <c r="W38" s="28">
        <v>52010.1</v>
      </c>
      <c r="X38" s="28">
        <v>22316.9</v>
      </c>
      <c r="Y38" s="28">
        <v>-58987.9</v>
      </c>
      <c r="Z38" s="28"/>
      <c r="AA38" s="28"/>
      <c r="AB38" s="27">
        <v>16113.9</v>
      </c>
      <c r="AC38" s="27">
        <v>50429.9</v>
      </c>
      <c r="AD38" s="27">
        <v>53201</v>
      </c>
      <c r="AE38" s="27">
        <v>21905.4</v>
      </c>
      <c r="AF38" s="27">
        <v>-58079.7</v>
      </c>
      <c r="AG38" s="27"/>
      <c r="AH38" s="27"/>
      <c r="AI38" s="29">
        <v>6.51</v>
      </c>
      <c r="AJ38" s="29">
        <v>9.62</v>
      </c>
      <c r="AK38" s="29" t="s">
        <v>22</v>
      </c>
      <c r="AL38" s="29"/>
      <c r="AM38" s="29"/>
      <c r="AN38" s="30">
        <v>0.0118</v>
      </c>
      <c r="AO38" s="30">
        <v>0.0471</v>
      </c>
      <c r="AP38" s="30">
        <v>0.0613</v>
      </c>
      <c r="AQ38" s="30"/>
      <c r="AR38" s="30"/>
      <c r="AS38" s="35">
        <v>0.0447</v>
      </c>
      <c r="AT38" s="31" t="s">
        <v>22</v>
      </c>
      <c r="AU38" s="31" t="s">
        <v>22</v>
      </c>
      <c r="AV38" s="31"/>
      <c r="AW38" s="31"/>
      <c r="AX38" s="30">
        <v>0.6441</v>
      </c>
      <c r="AY38" s="32" t="s">
        <v>22</v>
      </c>
      <c r="AZ38" s="32" t="s">
        <v>22</v>
      </c>
      <c r="BA38" s="33"/>
    </row>
    <row r="39" ht="15.5" customHeight="1" spans="1:53">
      <c r="A39" s="23" t="s">
        <v>179</v>
      </c>
      <c r="B39" s="23" t="s">
        <v>180</v>
      </c>
      <c r="C39" s="23" t="s">
        <v>181</v>
      </c>
      <c r="D39" s="24">
        <v>45595</v>
      </c>
      <c r="E39" s="25" t="s">
        <v>182</v>
      </c>
      <c r="F39" s="23" t="s">
        <v>51</v>
      </c>
      <c r="G39" s="23" t="s">
        <v>32</v>
      </c>
      <c r="H39" s="34" t="s">
        <v>22</v>
      </c>
      <c r="I39" s="34"/>
      <c r="J39" s="34"/>
      <c r="K39" s="34" t="s">
        <v>183</v>
      </c>
      <c r="L39" s="34"/>
      <c r="M39" s="34"/>
      <c r="N39" s="27">
        <v>45783.46</v>
      </c>
      <c r="O39" s="27">
        <v>54204.31</v>
      </c>
      <c r="P39" s="36">
        <v>68290.44</v>
      </c>
      <c r="Q39" s="37" t="s">
        <v>22</v>
      </c>
      <c r="R39" s="27" t="s">
        <v>22</v>
      </c>
      <c r="S39" s="27"/>
      <c r="T39" s="27"/>
      <c r="U39" s="28">
        <v>-28106.33</v>
      </c>
      <c r="V39" s="28">
        <v>-143553.81</v>
      </c>
      <c r="W39" s="28">
        <v>-4192.54</v>
      </c>
      <c r="X39" s="28">
        <v>-15652.4</v>
      </c>
      <c r="Y39" s="28" t="s">
        <v>22</v>
      </c>
      <c r="Z39" s="28"/>
      <c r="AA39" s="28"/>
      <c r="AB39" s="27">
        <v>-28106.33</v>
      </c>
      <c r="AC39" s="27">
        <v>-143553.81</v>
      </c>
      <c r="AD39" s="27">
        <v>-4192.54</v>
      </c>
      <c r="AE39" s="27">
        <v>-15652.4</v>
      </c>
      <c r="AF39" s="27" t="s">
        <v>22</v>
      </c>
      <c r="AG39" s="27"/>
      <c r="AH39" s="27"/>
      <c r="AI39" s="29">
        <v>-0.45</v>
      </c>
      <c r="AJ39" s="29">
        <v>-352.18</v>
      </c>
      <c r="AK39" s="29">
        <v>-4.92</v>
      </c>
      <c r="AL39" s="29"/>
      <c r="AM39" s="29"/>
      <c r="AN39" s="30">
        <v>-0.6139</v>
      </c>
      <c r="AO39" s="30">
        <v>-2.6484</v>
      </c>
      <c r="AP39" s="30">
        <v>-0.0614</v>
      </c>
      <c r="AQ39" s="30"/>
      <c r="AR39" s="30"/>
      <c r="AS39" s="31" t="s">
        <v>22</v>
      </c>
      <c r="AT39" s="31" t="s">
        <v>22</v>
      </c>
      <c r="AU39" s="31" t="s">
        <v>22</v>
      </c>
      <c r="AV39" s="31"/>
      <c r="AW39" s="31"/>
      <c r="AX39" s="32" t="s">
        <v>22</v>
      </c>
      <c r="AY39" s="32" t="s">
        <v>22</v>
      </c>
      <c r="AZ39" s="32" t="s">
        <v>22</v>
      </c>
      <c r="BA39" s="33"/>
    </row>
    <row r="40" ht="15.5" customHeight="1" spans="1:53">
      <c r="A40" s="23" t="s">
        <v>184</v>
      </c>
      <c r="B40" s="23" t="s">
        <v>185</v>
      </c>
      <c r="C40" s="23" t="s">
        <v>186</v>
      </c>
      <c r="D40" s="24">
        <v>45588</v>
      </c>
      <c r="E40" s="25" t="s">
        <v>187</v>
      </c>
      <c r="F40" s="23" t="s">
        <v>20</v>
      </c>
      <c r="G40" s="23" t="s">
        <v>21</v>
      </c>
      <c r="H40" s="26">
        <v>-0.0448</v>
      </c>
      <c r="I40" s="26"/>
      <c r="J40" s="26"/>
      <c r="K40" s="26">
        <v>-0.0015</v>
      </c>
      <c r="L40" s="26"/>
      <c r="M40" s="26"/>
      <c r="N40" s="27">
        <v>1100211.1</v>
      </c>
      <c r="O40" s="27">
        <v>1352124.6</v>
      </c>
      <c r="P40" s="27">
        <v>1351472.8</v>
      </c>
      <c r="Q40" s="27">
        <v>1262277.6</v>
      </c>
      <c r="R40" s="27">
        <v>1133988.1</v>
      </c>
      <c r="S40" s="27"/>
      <c r="T40" s="27"/>
      <c r="U40" s="28">
        <v>100847.3</v>
      </c>
      <c r="V40" s="28">
        <v>166083.9</v>
      </c>
      <c r="W40" s="28">
        <v>133137</v>
      </c>
      <c r="X40" s="28">
        <v>98872.1</v>
      </c>
      <c r="Y40" s="28">
        <v>85814.1</v>
      </c>
      <c r="Z40" s="28"/>
      <c r="AA40" s="28"/>
      <c r="AB40" s="27">
        <v>98534.1</v>
      </c>
      <c r="AC40" s="27">
        <v>163669.4</v>
      </c>
      <c r="AD40" s="27">
        <v>132934.1</v>
      </c>
      <c r="AE40" s="27">
        <v>98980.8</v>
      </c>
      <c r="AF40" s="27">
        <v>85814.1</v>
      </c>
      <c r="AG40" s="27"/>
      <c r="AH40" s="27"/>
      <c r="AI40" s="29">
        <v>16.75</v>
      </c>
      <c r="AJ40" s="29">
        <v>19.23</v>
      </c>
      <c r="AK40" s="29" t="s">
        <v>22</v>
      </c>
      <c r="AL40" s="29"/>
      <c r="AM40" s="29"/>
      <c r="AN40" s="30">
        <v>0.0896</v>
      </c>
      <c r="AO40" s="30">
        <v>0.121</v>
      </c>
      <c r="AP40" s="30">
        <v>0.0984</v>
      </c>
      <c r="AQ40" s="30"/>
      <c r="AR40" s="30"/>
      <c r="AS40" s="35">
        <v>0.0417</v>
      </c>
      <c r="AT40" s="35">
        <v>0.0449</v>
      </c>
      <c r="AU40" s="31" t="s">
        <v>22</v>
      </c>
      <c r="AV40" s="31"/>
      <c r="AW40" s="31"/>
      <c r="AX40" s="30">
        <v>0.8982</v>
      </c>
      <c r="AY40" s="30">
        <v>0.7064</v>
      </c>
      <c r="AZ40" s="32" t="s">
        <v>22</v>
      </c>
      <c r="BA40" s="33"/>
    </row>
    <row r="41" ht="15.5" customHeight="1" spans="1:53">
      <c r="A41" s="23" t="s">
        <v>188</v>
      </c>
      <c r="B41" s="23" t="s">
        <v>189</v>
      </c>
      <c r="C41" s="23" t="s">
        <v>190</v>
      </c>
      <c r="D41" s="24">
        <v>45567</v>
      </c>
      <c r="E41" s="25" t="s">
        <v>191</v>
      </c>
      <c r="F41" s="23" t="s">
        <v>56</v>
      </c>
      <c r="G41" s="23" t="s">
        <v>38</v>
      </c>
      <c r="H41" s="26">
        <v>0.4105</v>
      </c>
      <c r="I41" s="26"/>
      <c r="J41" s="26"/>
      <c r="K41" s="26">
        <v>0.3333</v>
      </c>
      <c r="L41" s="26"/>
      <c r="M41" s="26"/>
      <c r="N41" s="27">
        <v>215667.1</v>
      </c>
      <c r="O41" s="27">
        <v>207325.1</v>
      </c>
      <c r="P41" s="27">
        <v>158308.2</v>
      </c>
      <c r="Q41" s="27">
        <v>76848.2</v>
      </c>
      <c r="R41" s="27">
        <v>67534.5</v>
      </c>
      <c r="S41" s="27"/>
      <c r="T41" s="27"/>
      <c r="U41" s="28">
        <v>25781.9</v>
      </c>
      <c r="V41" s="28">
        <v>35596</v>
      </c>
      <c r="W41" s="28">
        <v>23647.4</v>
      </c>
      <c r="X41" s="28">
        <v>10848.8</v>
      </c>
      <c r="Y41" s="28">
        <v>3165.5</v>
      </c>
      <c r="Z41" s="28"/>
      <c r="AA41" s="28"/>
      <c r="AB41" s="27">
        <v>25780.6</v>
      </c>
      <c r="AC41" s="27">
        <v>35599.4</v>
      </c>
      <c r="AD41" s="27">
        <v>23713.2</v>
      </c>
      <c r="AE41" s="27">
        <v>10877</v>
      </c>
      <c r="AF41" s="27">
        <v>3171.8</v>
      </c>
      <c r="AG41" s="27"/>
      <c r="AH41" s="27"/>
      <c r="AI41" s="29">
        <v>7.87</v>
      </c>
      <c r="AJ41" s="29">
        <v>9.32</v>
      </c>
      <c r="AK41" s="29" t="s">
        <v>22</v>
      </c>
      <c r="AL41" s="29"/>
      <c r="AM41" s="29"/>
      <c r="AN41" s="30">
        <v>0.1195</v>
      </c>
      <c r="AO41" s="30">
        <v>0.1717</v>
      </c>
      <c r="AP41" s="30">
        <v>0.1498</v>
      </c>
      <c r="AQ41" s="30"/>
      <c r="AR41" s="30"/>
      <c r="AS41" s="35">
        <v>0.031</v>
      </c>
      <c r="AT41" s="35">
        <v>0.0282</v>
      </c>
      <c r="AU41" s="31" t="s">
        <v>22</v>
      </c>
      <c r="AV41" s="31"/>
      <c r="AW41" s="31"/>
      <c r="AX41" s="30">
        <v>0.2651</v>
      </c>
      <c r="AY41" s="30">
        <v>0.2</v>
      </c>
      <c r="AZ41" s="32" t="s">
        <v>22</v>
      </c>
      <c r="BA41" s="33"/>
    </row>
    <row r="42" ht="15.5" customHeight="1" spans="1:53">
      <c r="A42" s="23" t="s">
        <v>192</v>
      </c>
      <c r="B42" s="23" t="s">
        <v>193</v>
      </c>
      <c r="C42" s="23" t="s">
        <v>194</v>
      </c>
      <c r="D42" s="24">
        <v>45471</v>
      </c>
      <c r="E42" s="25" t="s">
        <v>195</v>
      </c>
      <c r="F42" s="23" t="s">
        <v>174</v>
      </c>
      <c r="G42" s="23" t="s">
        <v>92</v>
      </c>
      <c r="H42" s="26">
        <v>1.7631</v>
      </c>
      <c r="I42" s="26"/>
      <c r="J42" s="26"/>
      <c r="K42" s="26">
        <v>2.7204</v>
      </c>
      <c r="L42" s="26"/>
      <c r="M42" s="26"/>
      <c r="N42" s="27">
        <v>2730318.4</v>
      </c>
      <c r="O42" s="27">
        <v>850556</v>
      </c>
      <c r="P42" s="27">
        <v>317956.4</v>
      </c>
      <c r="Q42" s="27">
        <v>129422</v>
      </c>
      <c r="R42" s="27">
        <v>126460.3</v>
      </c>
      <c r="S42" s="27"/>
      <c r="T42" s="27"/>
      <c r="U42" s="28">
        <v>486793.6</v>
      </c>
      <c r="V42" s="28">
        <v>147310.6</v>
      </c>
      <c r="W42" s="28">
        <v>41630.2</v>
      </c>
      <c r="X42" s="28">
        <v>9452.9</v>
      </c>
      <c r="Y42" s="28">
        <v>11388</v>
      </c>
      <c r="Z42" s="28"/>
      <c r="AA42" s="28"/>
      <c r="AB42" s="27">
        <v>486793.6</v>
      </c>
      <c r="AC42" s="27">
        <v>147310.6</v>
      </c>
      <c r="AD42" s="27">
        <v>41630.2</v>
      </c>
      <c r="AE42" s="27">
        <v>9452.9</v>
      </c>
      <c r="AF42" s="27">
        <v>11388</v>
      </c>
      <c r="AG42" s="27"/>
      <c r="AH42" s="27"/>
      <c r="AI42" s="29">
        <v>31.53</v>
      </c>
      <c r="AJ42" s="29">
        <v>45.91</v>
      </c>
      <c r="AK42" s="29" t="s">
        <v>22</v>
      </c>
      <c r="AL42" s="29"/>
      <c r="AM42" s="29"/>
      <c r="AN42" s="30">
        <v>0.1783</v>
      </c>
      <c r="AO42" s="30">
        <v>0.1732</v>
      </c>
      <c r="AP42" s="30">
        <v>0.1309</v>
      </c>
      <c r="AQ42" s="30"/>
      <c r="AR42" s="30"/>
      <c r="AS42" s="35">
        <v>0.0391</v>
      </c>
      <c r="AT42" s="35">
        <v>0.0285</v>
      </c>
      <c r="AU42" s="31" t="s">
        <v>22</v>
      </c>
      <c r="AV42" s="31"/>
      <c r="AW42" s="31"/>
      <c r="AX42" s="30">
        <v>0.7802</v>
      </c>
      <c r="AY42" s="30">
        <v>0.7408</v>
      </c>
      <c r="AZ42" s="32" t="s">
        <v>22</v>
      </c>
      <c r="BA42" s="33"/>
    </row>
    <row r="43" ht="15.5" customHeight="1" spans="1:53">
      <c r="A43" s="23" t="s">
        <v>196</v>
      </c>
      <c r="B43" s="23" t="s">
        <v>197</v>
      </c>
      <c r="C43" s="23" t="s">
        <v>198</v>
      </c>
      <c r="D43" s="24">
        <v>45405</v>
      </c>
      <c r="E43" s="25" t="s">
        <v>199</v>
      </c>
      <c r="F43" s="23" t="s">
        <v>73</v>
      </c>
      <c r="G43" s="23" t="s">
        <v>21</v>
      </c>
      <c r="H43" s="26">
        <v>0.0843</v>
      </c>
      <c r="I43" s="26"/>
      <c r="J43" s="26"/>
      <c r="K43" s="26">
        <v>-0.0552</v>
      </c>
      <c r="L43" s="26"/>
      <c r="M43" s="26"/>
      <c r="N43" s="27">
        <v>539506.8</v>
      </c>
      <c r="O43" s="27">
        <v>491799.7</v>
      </c>
      <c r="P43" s="27">
        <v>570430.7</v>
      </c>
      <c r="Q43" s="27">
        <v>423167</v>
      </c>
      <c r="R43" s="27">
        <v>364420.9</v>
      </c>
      <c r="S43" s="27"/>
      <c r="T43" s="27"/>
      <c r="U43" s="28">
        <v>82135.5</v>
      </c>
      <c r="V43" s="28">
        <v>47972.6</v>
      </c>
      <c r="W43" s="28">
        <v>115078</v>
      </c>
      <c r="X43" s="28">
        <v>96475.9</v>
      </c>
      <c r="Y43" s="28">
        <v>77851.7</v>
      </c>
      <c r="Z43" s="28"/>
      <c r="AA43" s="28"/>
      <c r="AB43" s="27">
        <v>80489.7</v>
      </c>
      <c r="AC43" s="27">
        <v>47218.4</v>
      </c>
      <c r="AD43" s="27">
        <v>113921.1</v>
      </c>
      <c r="AE43" s="27">
        <v>95431.6</v>
      </c>
      <c r="AF43" s="27">
        <v>75581.6</v>
      </c>
      <c r="AG43" s="27"/>
      <c r="AH43" s="27"/>
      <c r="AI43" s="29">
        <v>15.8</v>
      </c>
      <c r="AJ43" s="29">
        <v>19.34</v>
      </c>
      <c r="AK43" s="29" t="s">
        <v>22</v>
      </c>
      <c r="AL43" s="29"/>
      <c r="AM43" s="29"/>
      <c r="AN43" s="30">
        <v>0.1492</v>
      </c>
      <c r="AO43" s="30">
        <v>0.096</v>
      </c>
      <c r="AP43" s="30">
        <v>0.1997</v>
      </c>
      <c r="AQ43" s="30"/>
      <c r="AR43" s="30"/>
      <c r="AS43" s="35">
        <v>0.1203</v>
      </c>
      <c r="AT43" s="35">
        <v>0.0193</v>
      </c>
      <c r="AU43" s="31" t="s">
        <v>22</v>
      </c>
      <c r="AV43" s="31"/>
      <c r="AW43" s="31"/>
      <c r="AX43" s="30">
        <v>1.3198</v>
      </c>
      <c r="AY43" s="30">
        <v>0.6242</v>
      </c>
      <c r="AZ43" s="32" t="s">
        <v>22</v>
      </c>
      <c r="BA43" s="33"/>
    </row>
    <row r="44" ht="15.5" customHeight="1" spans="1:53">
      <c r="A44" s="23" t="s">
        <v>200</v>
      </c>
      <c r="B44" s="23" t="s">
        <v>201</v>
      </c>
      <c r="C44" s="23" t="s">
        <v>202</v>
      </c>
      <c r="D44" s="24">
        <v>45379</v>
      </c>
      <c r="E44" s="25" t="s">
        <v>203</v>
      </c>
      <c r="F44" s="23" t="s">
        <v>20</v>
      </c>
      <c r="G44" s="23" t="s">
        <v>204</v>
      </c>
      <c r="H44" s="26">
        <v>0.1467</v>
      </c>
      <c r="I44" s="26"/>
      <c r="J44" s="26"/>
      <c r="K44" s="26">
        <v>0.2583</v>
      </c>
      <c r="L44" s="26"/>
      <c r="M44" s="26"/>
      <c r="N44" s="27">
        <v>19102.6</v>
      </c>
      <c r="O44" s="27">
        <v>18224.7</v>
      </c>
      <c r="P44" s="27">
        <v>15786</v>
      </c>
      <c r="Q44" s="27">
        <v>12669.4</v>
      </c>
      <c r="R44" s="27">
        <v>15494.6</v>
      </c>
      <c r="S44" s="27"/>
      <c r="T44" s="27"/>
      <c r="U44" s="28">
        <v>6338.5</v>
      </c>
      <c r="V44" s="28">
        <v>5175.4</v>
      </c>
      <c r="W44" s="28">
        <v>4923</v>
      </c>
      <c r="X44" s="28">
        <v>3181.2</v>
      </c>
      <c r="Y44" s="28">
        <v>4730.3</v>
      </c>
      <c r="Z44" s="28"/>
      <c r="AA44" s="28"/>
      <c r="AB44" s="27">
        <v>6338.5</v>
      </c>
      <c r="AC44" s="27">
        <v>5175.4</v>
      </c>
      <c r="AD44" s="27">
        <v>4923</v>
      </c>
      <c r="AE44" s="27">
        <v>3181.2</v>
      </c>
      <c r="AF44" s="27">
        <v>4730.3</v>
      </c>
      <c r="AG44" s="27"/>
      <c r="AH44" s="27"/>
      <c r="AI44" s="29">
        <v>3.13</v>
      </c>
      <c r="AJ44" s="29">
        <v>10.71</v>
      </c>
      <c r="AK44" s="29" t="s">
        <v>22</v>
      </c>
      <c r="AL44" s="29"/>
      <c r="AM44" s="29"/>
      <c r="AN44" s="30">
        <v>0.3318</v>
      </c>
      <c r="AO44" s="30">
        <v>0.284</v>
      </c>
      <c r="AP44" s="30">
        <v>0.3119</v>
      </c>
      <c r="AQ44" s="30"/>
      <c r="AR44" s="30"/>
      <c r="AS44" s="31" t="s">
        <v>22</v>
      </c>
      <c r="AT44" s="31" t="s">
        <v>22</v>
      </c>
      <c r="AU44" s="31" t="s">
        <v>22</v>
      </c>
      <c r="AV44" s="31"/>
      <c r="AW44" s="31"/>
      <c r="AX44" s="32" t="s">
        <v>22</v>
      </c>
      <c r="AY44" s="32" t="s">
        <v>22</v>
      </c>
      <c r="AZ44" s="32" t="s">
        <v>22</v>
      </c>
      <c r="BA44" s="33"/>
    </row>
    <row r="45" ht="15.5" customHeight="1" spans="1:53">
      <c r="A45" s="23" t="s">
        <v>205</v>
      </c>
      <c r="B45" s="23" t="s">
        <v>206</v>
      </c>
      <c r="C45" s="23" t="s">
        <v>207</v>
      </c>
      <c r="D45" s="24">
        <v>45377</v>
      </c>
      <c r="E45" s="25" t="s">
        <v>208</v>
      </c>
      <c r="F45" s="23" t="s">
        <v>73</v>
      </c>
      <c r="G45" s="23" t="s">
        <v>63</v>
      </c>
      <c r="H45" s="26">
        <v>0.1732</v>
      </c>
      <c r="I45" s="26"/>
      <c r="J45" s="26"/>
      <c r="K45" s="26">
        <v>-0.2412</v>
      </c>
      <c r="L45" s="26"/>
      <c r="M45" s="26"/>
      <c r="N45" s="27">
        <v>24028.83</v>
      </c>
      <c r="O45" s="27">
        <v>23646.54</v>
      </c>
      <c r="P45" s="27">
        <v>22524.82</v>
      </c>
      <c r="Q45" s="27">
        <v>14881.47</v>
      </c>
      <c r="R45" s="27">
        <v>5996.55</v>
      </c>
      <c r="S45" s="27"/>
      <c r="T45" s="27"/>
      <c r="U45" s="28">
        <v>1420.33</v>
      </c>
      <c r="V45" s="28">
        <v>860.5</v>
      </c>
      <c r="W45" s="28">
        <v>3865.29</v>
      </c>
      <c r="X45" s="28">
        <v>3250.77</v>
      </c>
      <c r="Y45" s="28">
        <v>216.11</v>
      </c>
      <c r="Z45" s="28"/>
      <c r="AA45" s="28"/>
      <c r="AB45" s="27">
        <v>1420.33</v>
      </c>
      <c r="AC45" s="27">
        <v>774.38</v>
      </c>
      <c r="AD45" s="27">
        <v>3865.29</v>
      </c>
      <c r="AE45" s="27">
        <v>3250.77</v>
      </c>
      <c r="AF45" s="27">
        <v>216.11</v>
      </c>
      <c r="AG45" s="27"/>
      <c r="AH45" s="27"/>
      <c r="AI45" s="29">
        <v>154.14</v>
      </c>
      <c r="AJ45" s="29">
        <v>381.24</v>
      </c>
      <c r="AK45" s="29" t="s">
        <v>22</v>
      </c>
      <c r="AL45" s="29"/>
      <c r="AM45" s="29"/>
      <c r="AN45" s="30">
        <v>0.0591</v>
      </c>
      <c r="AO45" s="30">
        <v>0.0327</v>
      </c>
      <c r="AP45" s="30">
        <v>0.1716</v>
      </c>
      <c r="AQ45" s="30"/>
      <c r="AR45" s="30"/>
      <c r="AS45" s="35">
        <v>0.0134</v>
      </c>
      <c r="AT45" s="31" t="s">
        <v>22</v>
      </c>
      <c r="AU45" s="31" t="s">
        <v>22</v>
      </c>
      <c r="AV45" s="31"/>
      <c r="AW45" s="31"/>
      <c r="AX45" s="30">
        <v>1.5198</v>
      </c>
      <c r="AY45" s="32" t="s">
        <v>22</v>
      </c>
      <c r="AZ45" s="32" t="s">
        <v>22</v>
      </c>
      <c r="BA45" s="33"/>
    </row>
    <row r="47" customFormat="1"/>
    <row r="48" customFormat="1"/>
    <row r="49" customFormat="1"/>
    <row r="50" customFormat="1"/>
    <row r="51" customFormat="1"/>
    <row r="52" ht="56" spans="1:52">
      <c r="A52" s="38" t="s">
        <v>209</v>
      </c>
      <c r="G52" s="39" t="s">
        <v>210</v>
      </c>
      <c r="H52" s="40"/>
      <c r="J52" s="39" t="s">
        <v>211</v>
      </c>
      <c r="K52" s="40"/>
      <c r="M52" s="41" t="s">
        <v>212</v>
      </c>
      <c r="N52" s="41"/>
      <c r="O52" s="41"/>
      <c r="P52" s="41"/>
      <c r="Q52" s="41"/>
      <c r="R52" s="40"/>
      <c r="S52"/>
      <c r="T52" s="39" t="s">
        <v>213</v>
      </c>
      <c r="U52" s="41"/>
      <c r="V52" s="41"/>
      <c r="W52" s="41"/>
      <c r="X52" s="41"/>
      <c r="Y52" s="40"/>
      <c r="Z52"/>
      <c r="AA52" s="39" t="s">
        <v>214</v>
      </c>
      <c r="AB52" s="41"/>
      <c r="AC52" s="41"/>
      <c r="AD52" s="41"/>
      <c r="AE52" s="41"/>
      <c r="AF52" s="40"/>
      <c r="AG52"/>
      <c r="AH52" s="39" t="s">
        <v>215</v>
      </c>
      <c r="AI52" s="41"/>
      <c r="AJ52" s="41"/>
      <c r="AK52" s="40"/>
      <c r="AL52"/>
      <c r="AM52" s="39" t="s">
        <v>216</v>
      </c>
      <c r="AN52" s="41"/>
      <c r="AO52" s="41"/>
      <c r="AP52" s="40"/>
      <c r="AQ52"/>
      <c r="AR52" s="39" t="s">
        <v>217</v>
      </c>
      <c r="AS52" s="41"/>
      <c r="AT52" s="41"/>
      <c r="AU52" s="40"/>
      <c r="AV52"/>
      <c r="AW52" s="39" t="s">
        <v>218</v>
      </c>
      <c r="AX52" s="41"/>
      <c r="AY52" s="41"/>
      <c r="AZ52" s="40"/>
    </row>
    <row r="53" spans="1:52">
      <c r="A53" s="42" t="s">
        <v>219</v>
      </c>
      <c r="G53" s="43" t="s">
        <v>220</v>
      </c>
      <c r="H53" s="43" t="s">
        <v>221</v>
      </c>
      <c r="J53" s="43" t="s">
        <v>220</v>
      </c>
      <c r="K53" s="43" t="s">
        <v>221</v>
      </c>
      <c r="M53" s="43" t="s">
        <v>220</v>
      </c>
      <c r="N53" s="43" t="s">
        <v>222</v>
      </c>
      <c r="O53" s="43" t="s">
        <v>223</v>
      </c>
      <c r="P53" s="43" t="s">
        <v>224</v>
      </c>
      <c r="Q53" s="43" t="s">
        <v>225</v>
      </c>
      <c r="R53" s="43" t="s">
        <v>226</v>
      </c>
      <c r="S53"/>
      <c r="T53" s="43" t="s">
        <v>220</v>
      </c>
      <c r="U53" s="43" t="s">
        <v>222</v>
      </c>
      <c r="V53" s="43" t="s">
        <v>223</v>
      </c>
      <c r="W53" s="43" t="s">
        <v>224</v>
      </c>
      <c r="X53" s="43" t="s">
        <v>225</v>
      </c>
      <c r="Y53" s="43" t="s">
        <v>226</v>
      </c>
      <c r="Z53"/>
      <c r="AA53" s="43" t="s">
        <v>220</v>
      </c>
      <c r="AB53" s="43" t="s">
        <v>222</v>
      </c>
      <c r="AC53" s="43" t="s">
        <v>223</v>
      </c>
      <c r="AD53" s="43" t="s">
        <v>224</v>
      </c>
      <c r="AE53" s="43" t="s">
        <v>225</v>
      </c>
      <c r="AF53" s="43" t="s">
        <v>226</v>
      </c>
      <c r="AG53"/>
      <c r="AH53" s="43" t="s">
        <v>220</v>
      </c>
      <c r="AI53" s="43" t="s">
        <v>222</v>
      </c>
      <c r="AJ53" s="43" t="s">
        <v>223</v>
      </c>
      <c r="AK53" s="43" t="s">
        <v>224</v>
      </c>
      <c r="AL53"/>
      <c r="AM53" s="43" t="s">
        <v>220</v>
      </c>
      <c r="AN53" s="43" t="s">
        <v>222</v>
      </c>
      <c r="AO53" s="43" t="s">
        <v>223</v>
      </c>
      <c r="AP53" s="43" t="s">
        <v>224</v>
      </c>
      <c r="AQ53"/>
      <c r="AR53" s="43" t="s">
        <v>220</v>
      </c>
      <c r="AS53" s="43" t="s">
        <v>222</v>
      </c>
      <c r="AT53" s="43" t="s">
        <v>223</v>
      </c>
      <c r="AU53" s="43" t="s">
        <v>224</v>
      </c>
      <c r="AV53"/>
      <c r="AW53" s="43" t="s">
        <v>220</v>
      </c>
      <c r="AX53" s="43" t="s">
        <v>222</v>
      </c>
      <c r="AY53" s="43" t="s">
        <v>223</v>
      </c>
      <c r="AZ53" s="43" t="s">
        <v>224</v>
      </c>
    </row>
    <row r="54" spans="1:52">
      <c r="A54" s="42" t="s">
        <v>227</v>
      </c>
      <c r="G54" s="44" t="s">
        <v>228</v>
      </c>
      <c r="H54" s="45">
        <f>COUNTA($B$3:$B$45)-COUNT($H$3:$H$45)</f>
        <v>3</v>
      </c>
      <c r="J54" s="44" t="s">
        <v>228</v>
      </c>
      <c r="K54" s="45">
        <f>COUNTA($B$3:$B$45)-COUNT($K$3:$K$45)</f>
        <v>4</v>
      </c>
      <c r="M54" s="44" t="s">
        <v>228</v>
      </c>
      <c r="N54" s="45">
        <f>COUNTA($B$3:$B$45)-COUNT($N$3:$N$45)</f>
        <v>0</v>
      </c>
      <c r="O54" s="45">
        <f>COUNTA($B$3:$B$45)-COUNT($O$3:$O$45)</f>
        <v>0</v>
      </c>
      <c r="P54" s="45">
        <f>COUNTA($B$3:$B$45)-COUNT($P$3:$P$45)</f>
        <v>0</v>
      </c>
      <c r="Q54" s="45">
        <f>COUNTA($B$3:$B$45)-COUNT($Q$3:$Q$45)</f>
        <v>3</v>
      </c>
      <c r="R54" s="45">
        <f>COUNTA($B$3:$B$45)-COUNT($R$3:$R$45)</f>
        <v>15</v>
      </c>
      <c r="T54" s="44" t="s">
        <v>228</v>
      </c>
      <c r="U54" s="45">
        <f>COUNTA($B$3:$B$45)-COUNT($U$3:$U$45)</f>
        <v>0</v>
      </c>
      <c r="V54" s="45">
        <f>COUNTA($B$3:$B$45)-COUNT($V$3:$V$45)</f>
        <v>0</v>
      </c>
      <c r="W54" s="45">
        <f>COUNTA($B$3:$B$45)-COUNT($W$3:$W$45)</f>
        <v>0</v>
      </c>
      <c r="X54" s="45">
        <f>COUNTA($B$3:$B$45)-COUNT($X$3:$X$45)</f>
        <v>2</v>
      </c>
      <c r="Y54" s="45">
        <f>COUNTA($B$3:$B$45)-COUNT($Y$3:$Y$45)</f>
        <v>15</v>
      </c>
      <c r="AA54" s="44" t="s">
        <v>228</v>
      </c>
      <c r="AB54" s="45">
        <f>COUNTA($B$3:$B$45)-COUNT($AB$3:$AB$45)</f>
        <v>0</v>
      </c>
      <c r="AC54" s="45">
        <f>COUNTA($B$3:$B$45)-COUNT($AC$3:$AC$45)</f>
        <v>0</v>
      </c>
      <c r="AD54" s="45">
        <f>COUNTA($B$3:$B$45)-COUNT($AD$3:$AD$45)</f>
        <v>0</v>
      </c>
      <c r="AE54" s="45">
        <f>COUNTA($B$3:$B$45)-COUNT($AE$3:$AE$45)</f>
        <v>2</v>
      </c>
      <c r="AF54" s="45">
        <f>COUNTA($B$3:$B$45)-COUNT($AF$3:$AF$45)</f>
        <v>15</v>
      </c>
      <c r="AH54" s="44" t="s">
        <v>228</v>
      </c>
      <c r="AI54" s="45">
        <f>COUNTA($B$3:$B$45)-COUNT($AI$3:$AI$45)</f>
        <v>7</v>
      </c>
      <c r="AJ54" s="45">
        <f>COUNTA($B$3:$B$45)-COUNT($AJ$3:$AJ$45)</f>
        <v>31</v>
      </c>
      <c r="AK54" s="45">
        <f>COUNTA($B$3:$B$45)-COUNT($AK$3:$AK$45)</f>
        <v>42</v>
      </c>
      <c r="AM54" s="44" t="s">
        <v>228</v>
      </c>
      <c r="AN54" s="45">
        <f>COUNTA($B$3:$B$45)-COUNT($AN$3:$AN$45)</f>
        <v>0</v>
      </c>
      <c r="AO54" s="45">
        <f>COUNTA($B$3:$B$45)-COUNT($AO$3:$AO$45)</f>
        <v>0</v>
      </c>
      <c r="AP54" s="45">
        <f>COUNTA($B$3:$B$45)-COUNT($AP$3:$AP$45)</f>
        <v>0</v>
      </c>
      <c r="AR54" s="44" t="s">
        <v>228</v>
      </c>
      <c r="AS54" s="45">
        <f>COUNTA($B$3:$B$45)-COUNT($AS$3:$AS$45)</f>
        <v>20</v>
      </c>
      <c r="AT54" s="45">
        <f>COUNTA($B$3:$B$45)-COUNT($AT$3:$AT$45)</f>
        <v>35</v>
      </c>
      <c r="AU54" s="45">
        <f>COUNTA($B$3:$B$45)-COUNT($AU$3:$AU$45)</f>
        <v>43</v>
      </c>
      <c r="AW54" s="44" t="s">
        <v>228</v>
      </c>
      <c r="AX54" s="45">
        <f>COUNTA($B$3:$B$45)-COUNT($AX$3:$AX$45)</f>
        <v>19</v>
      </c>
      <c r="AY54" s="45">
        <f>COUNTA($B$3:$B$45)-COUNT($AY$3:$AY$45)</f>
        <v>35</v>
      </c>
      <c r="AZ54" s="45">
        <f>COUNTA($B$3:$B$45)-COUNT($AZ$3:$AZ$45)</f>
        <v>43</v>
      </c>
    </row>
    <row r="55" ht="26" spans="1:52">
      <c r="A55" s="42" t="s">
        <v>229</v>
      </c>
      <c r="G55" s="44" t="s">
        <v>230</v>
      </c>
      <c r="H55" s="45">
        <f>COUNTIF($H$3:$H$45,"&lt;0")</f>
        <v>2</v>
      </c>
      <c r="J55" s="44" t="s">
        <v>230</v>
      </c>
      <c r="K55" s="45">
        <f>COUNTIF($K$3:$K$45,"&lt;0")</f>
        <v>8</v>
      </c>
      <c r="M55" s="44" t="s">
        <v>231</v>
      </c>
      <c r="N55" s="45">
        <f>COUNTIFS($N$3:$N$45,"&gt;=0",$N$3:$N$45,"&lt;100000")</f>
        <v>12</v>
      </c>
      <c r="O55" s="45">
        <f>COUNTIFS($O$3:$O$45,"&gt;=0",$O$3:$O$45,"&lt;100000")</f>
        <v>13</v>
      </c>
      <c r="P55" s="45">
        <f>COUNTIFS($P$3:$P$45,"&gt;=0",$P$3:$P$45,"&lt;100000")</f>
        <v>19</v>
      </c>
      <c r="Q55" s="45">
        <f>COUNTIFS($Q$3:$Q$45,"&gt;=0",$Q$3:$Q$45,"&lt;100000")</f>
        <v>17</v>
      </c>
      <c r="R55" s="45">
        <f>COUNTIFS($R$3:$R$45,"&gt;=0",$R$3:$R$45,"&lt;100000")</f>
        <v>10</v>
      </c>
      <c r="T55" s="44" t="s">
        <v>232</v>
      </c>
      <c r="U55" s="45">
        <f>COUNTIF($U$3:$U$45,"&lt;0")</f>
        <v>2</v>
      </c>
      <c r="V55" s="45">
        <f>COUNTIF($V$3:$V$45,"&lt;0")</f>
        <v>3</v>
      </c>
      <c r="W55" s="45">
        <f>COUNTIF($W$3:$W$45,"&lt;0")</f>
        <v>4</v>
      </c>
      <c r="X55" s="45">
        <f>COUNTIF($X$3:$X$45,"&lt;0")</f>
        <v>8</v>
      </c>
      <c r="Y55" s="45">
        <f>COUNTIF($Y$3:$Y$45,"&lt;0")</f>
        <v>5</v>
      </c>
      <c r="AA55" s="44" t="s">
        <v>232</v>
      </c>
      <c r="AB55" s="45">
        <f>COUNTIF($AB$3:$AB$45,"&lt;0")</f>
        <v>2</v>
      </c>
      <c r="AC55" s="45">
        <f>COUNTIF($AC$3:$AC$45,"&lt;0")</f>
        <v>3</v>
      </c>
      <c r="AD55" s="45">
        <f>COUNTIF($AD$3:$AD$45,"&lt;0")</f>
        <v>4</v>
      </c>
      <c r="AE55" s="45">
        <f>COUNTIF($AE$3:$AE$45,"&lt;0")</f>
        <v>8</v>
      </c>
      <c r="AF55" s="45">
        <f>COUNTIF($AF$3:$AF$45,"&lt;0")</f>
        <v>5</v>
      </c>
      <c r="AH55" s="44" t="s">
        <v>232</v>
      </c>
      <c r="AI55" s="45">
        <f>COUNTIF($AI$3:$AI$45,"&lt;0")</f>
        <v>2</v>
      </c>
      <c r="AJ55" s="45">
        <f>COUNTIF($AJ$3:$AJ$45,"&lt;0")</f>
        <v>1</v>
      </c>
      <c r="AK55" s="45">
        <f>COUNTIF($AK$3:$AK$45,"&lt;0")</f>
        <v>1</v>
      </c>
      <c r="AM55" s="44" t="s">
        <v>230</v>
      </c>
      <c r="AN55" s="45">
        <f>COUNTIF($AN$3:$AN$45,"&lt;0")</f>
        <v>2</v>
      </c>
      <c r="AO55" s="45">
        <f>COUNTIF($AO$3:$AO$45,"&lt;0")</f>
        <v>3</v>
      </c>
      <c r="AP55" s="45">
        <f>COUNTIF($AP$3:$AP$45,"&lt;0")</f>
        <v>4</v>
      </c>
      <c r="AR55" s="44" t="s">
        <v>233</v>
      </c>
      <c r="AS55" s="45">
        <f>COUNTIFS($AS$3:$AS$45,"&gt;=0",$AS$3:$AS$45,"&lt;0.02")</f>
        <v>6</v>
      </c>
      <c r="AT55" s="45">
        <f>COUNTIFS($AT$3:$AT$45,"&gt;=0",$AT$3:$AT$45,"&lt;0.02")</f>
        <v>2</v>
      </c>
      <c r="AU55" s="45">
        <f>COUNTIFS($AU$3:$AU$45,"&gt;=0",$AU$3:$AU$45,"&lt;0.02")</f>
        <v>0</v>
      </c>
      <c r="AW55" s="44" t="s">
        <v>234</v>
      </c>
      <c r="AX55" s="45">
        <f>COUNTIFS($AX$3:$AX$45,"&gt;=0",$AX$3:$AX$45,"&lt;0.3")</f>
        <v>3</v>
      </c>
      <c r="AY55" s="45">
        <f>COUNTIFS($AY$3:$AY$45,"&gt;=0",$AY$3:$AY$45,"&lt;0.3")</f>
        <v>1</v>
      </c>
      <c r="AZ55" s="45">
        <f>COUNTIFS($AZ$3:$AZ$45,"&gt;=0",$AZ$3:$AZ$45,"&lt;0.3")</f>
        <v>0</v>
      </c>
    </row>
    <row r="56" ht="26" spans="1:52">
      <c r="A56" s="42" t="s">
        <v>235</v>
      </c>
      <c r="G56" s="44" t="s">
        <v>236</v>
      </c>
      <c r="H56" s="45">
        <f>COUNTIFS($H$3:$H$45,"&gt;=0",$H$3:$H$45,"&lt;0.1")</f>
        <v>9</v>
      </c>
      <c r="J56" s="44" t="s">
        <v>236</v>
      </c>
      <c r="K56" s="45">
        <f>COUNTIFS($K$3:$K$45,"&gt;=0",$K$3:$K$45,"&lt;0.1")</f>
        <v>3</v>
      </c>
      <c r="M56" s="44" t="s">
        <v>237</v>
      </c>
      <c r="N56" s="45">
        <f>COUNTIFS($N$3:$N$45,"&gt;=100000",$N$3:$N$45,"&lt;500000")</f>
        <v>15</v>
      </c>
      <c r="O56" s="45">
        <f>COUNTIFS($O$3:$O$45,"&gt;=100000",$O$3:$O$45,"&lt;500000")</f>
        <v>16</v>
      </c>
      <c r="P56" s="45">
        <f>COUNTIFS($P$3:$P$45,"&gt;=100000",$P$3:$P$45,"&lt;500000")</f>
        <v>11</v>
      </c>
      <c r="Q56" s="45">
        <f>COUNTIFS($Q$3:$Q$45,"&gt;=100000",$Q$3:$Q$45,"&lt;500000")</f>
        <v>13</v>
      </c>
      <c r="R56" s="45">
        <f>COUNTIFS($R$3:$R$45,"&gt;=100000",$R$3:$R$45,"&lt;500000")</f>
        <v>9</v>
      </c>
      <c r="T56" s="44" t="s">
        <v>238</v>
      </c>
      <c r="U56" s="45">
        <f>COUNTIFS($U$3:$U$45,"&gt;=0",$U$3:$U$45,"&lt;10000")</f>
        <v>10</v>
      </c>
      <c r="V56" s="45">
        <f>COUNTIFS($V$3:$V$45,"&gt;=0",$V$3:$V$45,"&lt;10000")</f>
        <v>13</v>
      </c>
      <c r="W56" s="45">
        <f>COUNTIFS($W$3:$W$45,"&gt;=0",$W$3:$W$45,"&lt;10000")</f>
        <v>16</v>
      </c>
      <c r="X56" s="45">
        <f>COUNTIFS($X$3:$X$45,"&gt;=0",$X$3:$X$45,"&lt;10000")</f>
        <v>13</v>
      </c>
      <c r="Y56" s="45">
        <f>COUNTIFS($Y$3:$Y$45,"&gt;=0",$Y$3:$Y$45,"&lt;10000")</f>
        <v>9</v>
      </c>
      <c r="AA56" s="44" t="s">
        <v>238</v>
      </c>
      <c r="AB56" s="45">
        <f>COUNTIFS($AB$3:$AB$45,"&gt;=0",$AB$3:$AB$45,"&lt;10000")</f>
        <v>11</v>
      </c>
      <c r="AC56" s="45">
        <f>COUNTIFS($AC$3:$AC$45,"&gt;=0",$AC$3:$AC$45,"&lt;10000")</f>
        <v>13</v>
      </c>
      <c r="AD56" s="45">
        <f>COUNTIFS($AD$3:$AD$45,"&gt;=0",$AD$3:$AD$45,"&lt;10000")</f>
        <v>16</v>
      </c>
      <c r="AE56" s="45">
        <f>COUNTIFS($AE$3:$AE$45,"&gt;=0",$AE$3:$AE$45,"&lt;10000")</f>
        <v>13</v>
      </c>
      <c r="AF56" s="45">
        <f>COUNTIFS($AF$3:$AF$45,"&gt;=0",$AF$3:$AF$45,"&lt;10000")</f>
        <v>9</v>
      </c>
      <c r="AH56" s="44" t="s">
        <v>239</v>
      </c>
      <c r="AI56" s="45">
        <f>COUNTIFS($AI$3:$AI$45,"&gt;=0",$AI$3:$AI$45,"&lt;10")</f>
        <v>6</v>
      </c>
      <c r="AJ56" s="45">
        <f>COUNTIFS($AJ$3:$AJ$45,"&gt;=0",$AJ$3:$AJ$45,"&lt;10")</f>
        <v>2</v>
      </c>
      <c r="AK56" s="45">
        <f>COUNTIFS($AK$3:$AK$45,"&gt;=0",$AK$3:$AK$45,"&lt;10")</f>
        <v>0</v>
      </c>
      <c r="AM56" s="44" t="s">
        <v>240</v>
      </c>
      <c r="AN56" s="45">
        <f>COUNTIFS($AN$3:$AN$45,"&gt;=0",$AN$3:$AN$45,"&lt;0.05")</f>
        <v>6</v>
      </c>
      <c r="AO56" s="45">
        <f>COUNTIFS($AO$3:$AO$45,"&gt;=0",$AO$3:$AO$45,"&lt;0.05")</f>
        <v>8</v>
      </c>
      <c r="AP56" s="45">
        <f>COUNTIFS($AP$3:$AP$45,"&gt;=0",$AP$3:$AP$45,"&lt;0.05")</f>
        <v>5</v>
      </c>
      <c r="AR56" s="44" t="s">
        <v>241</v>
      </c>
      <c r="AS56" s="45">
        <f>COUNTIFS($AS$3:$AS$45,"&gt;=0.02",$AS$3:$AS$45,"&lt;0.05")</f>
        <v>12</v>
      </c>
      <c r="AT56" s="45">
        <f>COUNTIFS($AT$3:$AT$45,"&gt;=0.02",$AT$3:$AT$45,"&lt;0.05")</f>
        <v>5</v>
      </c>
      <c r="AU56" s="45">
        <f>COUNTIFS($AU$3:$AU$45,"&gt;=0.02",$AU$3:$AU$45,"&lt;0.05")</f>
        <v>0</v>
      </c>
      <c r="AW56" s="44" t="s">
        <v>242</v>
      </c>
      <c r="AX56" s="45">
        <f>COUNTIFS($AX$3:$AX$45,"&gt;=0.3",$AX$3:$AX$45,"&lt;0.5")</f>
        <v>6</v>
      </c>
      <c r="AY56" s="45">
        <f>COUNTIFS($AY$3:$AY$45,"&gt;=0.3",$AY$3:$AY$45,"&lt;0.5")</f>
        <v>2</v>
      </c>
      <c r="AZ56" s="45">
        <f>COUNTIFS($AZ$3:$AZ$45,"&gt;=0.3",$AZ$3:$AZ$45,"&lt;0.5")</f>
        <v>0</v>
      </c>
    </row>
    <row r="57" ht="26" spans="1:52">
      <c r="G57" s="44" t="s">
        <v>243</v>
      </c>
      <c r="H57" s="45">
        <f>COUNTIFS($H$3:$H$45,"&gt;=0.1",$H$3:$H$45,"&lt;0.2")</f>
        <v>7</v>
      </c>
      <c r="J57" s="44" t="s">
        <v>243</v>
      </c>
      <c r="K57" s="45">
        <f>COUNTIFS($K$3:$K$45,"&gt;=0.1",$K$3:$K$45,"&lt;0.2")</f>
        <v>5</v>
      </c>
      <c r="M57" s="44" t="s">
        <v>244</v>
      </c>
      <c r="N57" s="45">
        <f>COUNTIFS($N$3:$N$45,"&gt;=500000",$N$3:$N$45,"&lt;1000000")</f>
        <v>5</v>
      </c>
      <c r="O57" s="45">
        <f>COUNTIFS($O$3:$O$45,"&gt;=500000",$O$3:$O$45,"&lt;1000000")</f>
        <v>5</v>
      </c>
      <c r="P57" s="45">
        <f>COUNTIFS($P$3:$P$45,"&gt;=500000",$P$3:$P$45,"&lt;1000000")</f>
        <v>5</v>
      </c>
      <c r="Q57" s="45">
        <f>COUNTIFS($Q$3:$Q$45,"&gt;=500000",$Q$3:$Q$45,"&lt;1000000")</f>
        <v>4</v>
      </c>
      <c r="R57" s="45">
        <f>COUNTIFS($R$3:$R$45,"&gt;=500000",$R$3:$R$45,"&lt;1000000")</f>
        <v>4</v>
      </c>
      <c r="T57" s="44" t="s">
        <v>245</v>
      </c>
      <c r="U57" s="45">
        <f>COUNTIFS($U$3:$U$45,"&gt;=10000",$U$3:$U$45,"&lt;50000")</f>
        <v>15</v>
      </c>
      <c r="V57" s="45">
        <f>COUNTIFS($V$3:$V$45,"&gt;=10000",$V$3:$V$45,"&lt;50000")</f>
        <v>13</v>
      </c>
      <c r="W57" s="45">
        <f>COUNTIFS($W$3:$W$45,"&gt;=10000",$W$3:$W$45,"&lt;50000")</f>
        <v>12</v>
      </c>
      <c r="X57" s="45">
        <f>COUNTIFS($X$3:$X$45,"&gt;=10000",$X$3:$X$45,"&lt;50000")</f>
        <v>13</v>
      </c>
      <c r="Y57" s="45">
        <f>COUNTIFS($Y$3:$Y$45,"&gt;=10000",$Y$3:$Y$45,"&lt;50000")</f>
        <v>8</v>
      </c>
      <c r="AA57" s="44" t="s">
        <v>245</v>
      </c>
      <c r="AB57" s="45">
        <f>COUNTIFS($AB$3:$AB$45,"&gt;=10000",$AB$3:$AB$45,"&lt;50000")</f>
        <v>14</v>
      </c>
      <c r="AC57" s="45">
        <f>COUNTIFS($AC$3:$AC$45,"&gt;=10000",$AC$3:$AC$45,"&lt;50000")</f>
        <v>13</v>
      </c>
      <c r="AD57" s="45">
        <f>COUNTIFS($AD$3:$AD$45,"&gt;=10000",$AD$3:$AD$45,"&lt;50000")</f>
        <v>12</v>
      </c>
      <c r="AE57" s="45">
        <f>COUNTIFS($AE$3:$AE$45,"&gt;=10000",$AE$3:$AE$45,"&lt;50000")</f>
        <v>13</v>
      </c>
      <c r="AF57" s="45">
        <f>COUNTIFS($AF$3:$AF$45,"&gt;=10000",$AF$3:$AF$45,"&lt;50000")</f>
        <v>8</v>
      </c>
      <c r="AH57" s="44" t="s">
        <v>246</v>
      </c>
      <c r="AI57" s="45">
        <f>COUNTIFS($AI$3:$AI$45,"&gt;=10",$AI$3:$AI$45,"&lt;20")</f>
        <v>10</v>
      </c>
      <c r="AJ57" s="45">
        <f>COUNTIFS($AJ$3:$AJ$45,"&gt;=10",$AJ$3:$AJ$45,"&lt;20")</f>
        <v>6</v>
      </c>
      <c r="AK57" s="45">
        <f>COUNTIFS($AK$3:$AK$45,"&gt;=10",$AK$3:$AK$45,"&lt;20")</f>
        <v>0</v>
      </c>
      <c r="AM57" s="44" t="s">
        <v>247</v>
      </c>
      <c r="AN57" s="45">
        <f>COUNTIFS($AN$3:$AN$45,"&gt;=0.05",$AN$3:$AN$45,"&lt;0.1")</f>
        <v>9</v>
      </c>
      <c r="AO57" s="45">
        <f>COUNTIFS($AO$3:$AO$45,"&gt;=0.05",$AO$3:$AO$45,"&lt;0.1")</f>
        <v>9</v>
      </c>
      <c r="AP57" s="45">
        <f>COUNTIFS($AP$3:$AP$45,"&gt;=0.05",$AP$3:$AP$45,"&lt;0.1")</f>
        <v>10</v>
      </c>
      <c r="AR57" s="44" t="s">
        <v>248</v>
      </c>
      <c r="AS57" s="45">
        <f>COUNTIF($AS$3:$AS$45,"&gt;=0.05")</f>
        <v>5</v>
      </c>
      <c r="AT57" s="45">
        <f>COUNTIF($AT$3:$AT$45,"&gt;=0.05")</f>
        <v>1</v>
      </c>
      <c r="AU57" s="45">
        <f>COUNTIF($AU$3:$AU$45,"&gt;=0.05")</f>
        <v>0</v>
      </c>
      <c r="AW57" s="44" t="s">
        <v>249</v>
      </c>
      <c r="AX57" s="45">
        <f>COUNTIFS($AX$3:$AX$45,"&gt;=0.5",$AX$3:$AX$45,"&lt;0.8")</f>
        <v>7</v>
      </c>
      <c r="AY57" s="45">
        <f>COUNTIFS($AY$3:$AY$45,"&gt;=0.5",$AY$3:$AY$45,"&lt;0.8")</f>
        <v>4</v>
      </c>
      <c r="AZ57" s="45">
        <f>COUNTIFS($AZ$3:$AZ$45,"&gt;=0.5",$AZ$3:$AZ$45,"&lt;0.8")</f>
        <v>0</v>
      </c>
    </row>
    <row r="58" ht="26" spans="1:52">
      <c r="G58" s="44" t="s">
        <v>250</v>
      </c>
      <c r="H58" s="45">
        <f>COUNTIFS($H$3:$H$45,"&gt;=0.2",$H$3:$H$45,"&lt;0.3")</f>
        <v>6</v>
      </c>
      <c r="J58" s="44" t="s">
        <v>250</v>
      </c>
      <c r="K58" s="45">
        <f>COUNTIFS($K$3:$K$45,"&gt;=0.2",$K$3:$K$45,"&lt;0.3")</f>
        <v>2</v>
      </c>
      <c r="M58" s="44" t="s">
        <v>251</v>
      </c>
      <c r="N58" s="45">
        <f>COUNTIFS($N$3:$N$45,"&gt;=1000000",$N$3:$N$45,"&lt;5000000")</f>
        <v>10</v>
      </c>
      <c r="O58" s="45">
        <f>COUNTIFS($O$3:$O$45,"&gt;=1000000",$O$3:$O$45,"&lt;5000000")</f>
        <v>9</v>
      </c>
      <c r="P58" s="45">
        <f>COUNTIFS($P$3:$P$45,"&gt;=1000000",$P$3:$P$45,"&lt;5000000")</f>
        <v>8</v>
      </c>
      <c r="Q58" s="45">
        <f>COUNTIFS($Q$3:$Q$45,"&gt;=1000000",$Q$3:$Q$45,"&lt;5000000")</f>
        <v>6</v>
      </c>
      <c r="R58" s="45">
        <f>COUNTIFS($R$3:$R$45,"&gt;=1000000",$R$3:$R$45,"&lt;5000000")</f>
        <v>5</v>
      </c>
      <c r="T58" s="44" t="s">
        <v>252</v>
      </c>
      <c r="U58" s="45">
        <f>COUNTIFS($U$3:$U$45,"&gt;=50000",$U$3:$U$45,"&lt;100000")</f>
        <v>6</v>
      </c>
      <c r="V58" s="45">
        <f>COUNTIFS($V$3:$V$45,"&gt;=50000",$V$3:$V$45,"&lt;100000")</f>
        <v>7</v>
      </c>
      <c r="W58" s="45">
        <f>COUNTIFS($W$3:$W$45,"&gt;=50000",$W$3:$W$45,"&lt;100000")</f>
        <v>4</v>
      </c>
      <c r="X58" s="45">
        <f>COUNTIFS($X$3:$X$45,"&gt;=50000",$X$3:$X$45,"&lt;100000")</f>
        <v>3</v>
      </c>
      <c r="Y58" s="45">
        <f>COUNTIFS($Y$3:$Y$45,"&gt;=50000",$Y$3:$Y$45,"&lt;100000")</f>
        <v>3</v>
      </c>
      <c r="AA58" s="44" t="s">
        <v>252</v>
      </c>
      <c r="AB58" s="45">
        <f>COUNTIFS($AB$3:$AB$45,"&gt;=50000",$AB$3:$AB$45,"&lt;100000")</f>
        <v>7</v>
      </c>
      <c r="AC58" s="45">
        <f>COUNTIFS($AC$3:$AC$45,"&gt;=50000",$AC$3:$AC$45,"&lt;100000")</f>
        <v>7</v>
      </c>
      <c r="AD58" s="45">
        <f>COUNTIFS($AD$3:$AD$45,"&gt;=50000",$AD$3:$AD$45,"&lt;100000")</f>
        <v>4</v>
      </c>
      <c r="AE58" s="45">
        <f>COUNTIFS($AE$3:$AE$45,"&gt;=50000",$AE$3:$AE$45,"&lt;100000")</f>
        <v>3</v>
      </c>
      <c r="AF58" s="45">
        <f>COUNTIFS($AF$3:$AF$45,"&gt;=50000",$AF$3:$AF$45,"&lt;100000")</f>
        <v>3</v>
      </c>
      <c r="AH58" s="44" t="s">
        <v>253</v>
      </c>
      <c r="AI58" s="45">
        <f>COUNTIFS($AI$3:$AI$45,"&gt;=20",$AI$3:$AI$45,"&lt;50")</f>
        <v>13</v>
      </c>
      <c r="AJ58" s="45">
        <f>COUNTIFS($AJ$3:$AJ$45,"&gt;=20",$AJ$3:$AJ$45,"&lt;50")</f>
        <v>2</v>
      </c>
      <c r="AK58" s="45">
        <f>COUNTIFS($AK$3:$AK$45,"&gt;=20",$AK$3:$AK$45,"&lt;50")</f>
        <v>0</v>
      </c>
      <c r="AM58" s="44" t="s">
        <v>254</v>
      </c>
      <c r="AN58" s="45">
        <f>COUNTIFS($AN$3:$AN$45,"&gt;=0.1",$AN$3:$AN$45,"&lt;0.15")</f>
        <v>13</v>
      </c>
      <c r="AO58" s="45">
        <f>COUNTIFS($AO$3:$AO$45,"&gt;=0.1",$AO$3:$AO$45,"&lt;0.15")</f>
        <v>10</v>
      </c>
      <c r="AP58" s="45">
        <f>COUNTIFS($AP$3:$AP$45,"&gt;=0.1",$AP$3:$AP$45,"&lt;0.15")</f>
        <v>12</v>
      </c>
      <c r="AR58" s="46" t="s">
        <v>255</v>
      </c>
      <c r="AS58" s="46">
        <f>SUM(AS54:AS57)</f>
        <v>43</v>
      </c>
      <c r="AT58" s="46">
        <f>SUM(AT54:AT57)</f>
        <v>43</v>
      </c>
      <c r="AU58" s="46">
        <f>SUM(AU54:AU57)</f>
        <v>43</v>
      </c>
      <c r="AW58" s="44" t="s">
        <v>256</v>
      </c>
      <c r="AX58" s="45">
        <f>COUNTIF($AX$3:$AX$45,"&gt;=0.8")</f>
        <v>8</v>
      </c>
      <c r="AY58" s="45">
        <f>COUNTIF($AY$3:$AY$45,"&gt;=0.8")</f>
        <v>1</v>
      </c>
      <c r="AZ58" s="45">
        <f>COUNTIF($AZ$3:$AZ$45,"&gt;=0.8")</f>
        <v>0</v>
      </c>
    </row>
    <row r="59" ht="26" spans="1:52">
      <c r="G59" s="44" t="s">
        <v>242</v>
      </c>
      <c r="H59" s="45">
        <f>COUNTIFS($H$3:$H$45,"&gt;=0.3",$H$3:$H$45,"&lt;0.5")</f>
        <v>11</v>
      </c>
      <c r="J59" s="44" t="s">
        <v>242</v>
      </c>
      <c r="K59" s="45">
        <f>COUNTIFS($K$3:$K$45,"&gt;=0.3",$K$3:$K$45,"&lt;0.5")</f>
        <v>7</v>
      </c>
      <c r="M59" s="44" t="s">
        <v>257</v>
      </c>
      <c r="N59" s="45">
        <f>COUNTIF($N$3:$N$45,"&gt;=5000000")</f>
        <v>1</v>
      </c>
      <c r="O59" s="45">
        <f>COUNTIF($O$3:$O$45,"&gt;=5000000")</f>
        <v>0</v>
      </c>
      <c r="P59" s="45">
        <f>COUNTIF($P$3:$P$45,"&gt;=5000000")</f>
        <v>0</v>
      </c>
      <c r="Q59" s="45">
        <f>COUNTIF($Q$3:$Q$45,"&gt;=5000000")</f>
        <v>0</v>
      </c>
      <c r="R59" s="45">
        <f>COUNTIF($R$3:$R$45,"&gt;=5000000")</f>
        <v>0</v>
      </c>
      <c r="T59" s="44" t="s">
        <v>237</v>
      </c>
      <c r="U59" s="45">
        <f>COUNTIFS($U$3:$U$45,"&gt;=100000",$U$3:$U$45,"&lt;500000")</f>
        <v>8</v>
      </c>
      <c r="V59" s="45">
        <f>COUNTIFS($V$3:$V$45,"&gt;=100000",$V$3:$V$45,"&lt;500000")</f>
        <v>6</v>
      </c>
      <c r="W59" s="45">
        <f>COUNTIFS($W$3:$W$45,"&gt;=100000",$W$3:$W$45,"&lt;500000")</f>
        <v>6</v>
      </c>
      <c r="X59" s="45">
        <f>COUNTIFS($X$3:$X$45,"&gt;=100000",$X$3:$X$45,"&lt;500000")</f>
        <v>3</v>
      </c>
      <c r="Y59" s="45">
        <f>COUNTIFS($Y$3:$Y$45,"&gt;=100000",$Y$3:$Y$45,"&lt;500000")</f>
        <v>2</v>
      </c>
      <c r="AA59" s="44" t="s">
        <v>237</v>
      </c>
      <c r="AB59" s="45">
        <f>COUNTIFS($AB$3:$AB$45,"&gt;=100000",$AB$3:$AB$45,"&lt;500000")</f>
        <v>7</v>
      </c>
      <c r="AC59" s="45">
        <f>COUNTIFS($AC$3:$AC$45,"&gt;=100000",$AC$3:$AC$45,"&lt;500000")</f>
        <v>6</v>
      </c>
      <c r="AD59" s="45">
        <f>COUNTIFS($AD$3:$AD$45,"&gt;=100000",$AD$3:$AD$45,"&lt;500000")</f>
        <v>6</v>
      </c>
      <c r="AE59" s="45">
        <f>COUNTIFS($AE$3:$AE$45,"&gt;=100000",$AE$3:$AE$45,"&lt;500000")</f>
        <v>3</v>
      </c>
      <c r="AF59" s="45">
        <f>COUNTIFS($AF$3:$AF$45,"&gt;=100000",$AF$3:$AF$45,"&lt;500000")</f>
        <v>2</v>
      </c>
      <c r="AH59" s="44" t="s">
        <v>258</v>
      </c>
      <c r="AI59" s="45">
        <f>COUNTIFS($AI$3:$AI$45,"&gt;=50",$AI$3:$AI$45,"&lt;100")</f>
        <v>2</v>
      </c>
      <c r="AJ59" s="45">
        <f>COUNTIFS($AJ$3:$AJ$45,"&gt;=50",$AJ$3:$AJ$45,"&lt;100")</f>
        <v>0</v>
      </c>
      <c r="AK59" s="45">
        <f>COUNTIFS($AK$3:$AK$45,"&gt;=50",$AK$3:$AK$45,"&lt;100")</f>
        <v>0</v>
      </c>
      <c r="AM59" s="44" t="s">
        <v>259</v>
      </c>
      <c r="AN59" s="45">
        <f>COUNTIFS($AN$3:$AN$45,"&gt;=0.15",$AN$3:$AN$45,"&lt;0.2")</f>
        <v>3</v>
      </c>
      <c r="AO59" s="45">
        <f>COUNTIFS($AO$3:$AO$45,"&gt;=0.15",$AO$3:$AO$45,"&lt;0.2")</f>
        <v>5</v>
      </c>
      <c r="AP59" s="45">
        <f>COUNTIFS($AP$3:$AP$45,"&gt;=0.15",$AP$3:$AP$45,"&lt;0.2")</f>
        <v>7</v>
      </c>
      <c r="AR59" s="47" t="s">
        <v>260</v>
      </c>
      <c r="AS59" s="47" t="s">
        <v>260</v>
      </c>
      <c r="AT59" s="47" t="s">
        <v>260</v>
      </c>
      <c r="AU59" s="47" t="s">
        <v>260</v>
      </c>
      <c r="AV59"/>
      <c r="AW59" s="46" t="s">
        <v>255</v>
      </c>
      <c r="AX59" s="46">
        <f>SUM(AX54:AX58)</f>
        <v>43</v>
      </c>
      <c r="AY59" s="46">
        <f>SUM(AY54:AY58)</f>
        <v>43</v>
      </c>
      <c r="AZ59" s="46">
        <f>SUM(AZ54:AZ58)</f>
        <v>43</v>
      </c>
    </row>
    <row r="60" ht="26" spans="1:52">
      <c r="G60" s="44" t="s">
        <v>261</v>
      </c>
      <c r="H60" s="45">
        <f>COUNTIF($H$3:$H$45,"&gt;=0.5")</f>
        <v>5</v>
      </c>
      <c r="J60" s="44" t="s">
        <v>261</v>
      </c>
      <c r="K60" s="45">
        <f>COUNTIF($K$3:$K$45,"&gt;=0.5")</f>
        <v>14</v>
      </c>
      <c r="M60" s="46" t="s">
        <v>255</v>
      </c>
      <c r="N60" s="46">
        <f>SUM(N54:N59)</f>
        <v>43</v>
      </c>
      <c r="O60" s="46">
        <f>SUM(O54:O59)</f>
        <v>43</v>
      </c>
      <c r="P60" s="46">
        <f>SUM(P54:P59)</f>
        <v>43</v>
      </c>
      <c r="Q60" s="46">
        <f>SUM(Q54:Q59)</f>
        <v>43</v>
      </c>
      <c r="R60" s="46">
        <f>SUM(R54:R59)</f>
        <v>43</v>
      </c>
      <c r="T60" s="44" t="s">
        <v>262</v>
      </c>
      <c r="U60" s="45">
        <f>COUNTIF($U$3:$U$45,"&gt;=500000")</f>
        <v>2</v>
      </c>
      <c r="V60" s="45">
        <f>COUNTIF($V$3:$V$45,"&gt;=500000")</f>
        <v>1</v>
      </c>
      <c r="W60" s="45">
        <f>COUNTIF($W$3:$W$45,"&gt;=500000")</f>
        <v>1</v>
      </c>
      <c r="X60" s="45">
        <f>COUNTIF($X$3:$X$45,"&gt;=500000")</f>
        <v>1</v>
      </c>
      <c r="Y60" s="45">
        <f>COUNTIF($Y$3:$Y$45,"&gt;=500000")</f>
        <v>1</v>
      </c>
      <c r="AA60" s="44" t="s">
        <v>262</v>
      </c>
      <c r="AB60" s="45">
        <f>COUNTIF($AB$3:$AB$45,"&gt;=500000")</f>
        <v>2</v>
      </c>
      <c r="AC60" s="45">
        <f>COUNTIF($AC$3:$AC$45,"&gt;=500000")</f>
        <v>1</v>
      </c>
      <c r="AD60" s="45">
        <f>COUNTIF($AD$3:$AD$45,"&gt;=500000")</f>
        <v>1</v>
      </c>
      <c r="AE60" s="45">
        <f>COUNTIF($AE$3:$AE$45,"&gt;=500000")</f>
        <v>1</v>
      </c>
      <c r="AF60" s="45">
        <f>COUNTIF($AF$3:$AF$45,"&gt;=500000")</f>
        <v>1</v>
      </c>
      <c r="AH60" s="44" t="s">
        <v>263</v>
      </c>
      <c r="AI60" s="45">
        <f>COUNTIF($AI$3:$AI$45,"&gt;=100")</f>
        <v>3</v>
      </c>
      <c r="AJ60" s="45">
        <f>COUNTIF($AJ$3:$AJ$45,"&gt;=100")</f>
        <v>1</v>
      </c>
      <c r="AK60" s="45">
        <f>COUNTIF($AK$3:$AK$45,"&gt;=100")</f>
        <v>0</v>
      </c>
      <c r="AM60" s="44" t="s">
        <v>264</v>
      </c>
      <c r="AN60" s="45">
        <f>COUNTIF($AN$3:$AN$45,"&gt;=0.2")</f>
        <v>10</v>
      </c>
      <c r="AO60" s="45">
        <f>COUNTIF($AO$3:$AO$45,"&gt;=0.2")</f>
        <v>8</v>
      </c>
      <c r="AP60" s="45">
        <f>COUNTIF($AP$3:$AP$45,"&gt;=0.2")</f>
        <v>5</v>
      </c>
      <c r="AR60" s="44" t="s">
        <v>228</v>
      </c>
      <c r="AS60" s="48">
        <f>AS54/COUNTA($B$3:$B$45)</f>
        <v>0.465116279069767</v>
      </c>
      <c r="AT60" s="48">
        <f>AT54/COUNTA($B$3:$B$45)</f>
        <v>0.813953488372093</v>
      </c>
      <c r="AU60" s="48">
        <f>AU54/COUNTA($B$3:$B$45)</f>
        <v>1</v>
      </c>
      <c r="AW60" s="47" t="s">
        <v>260</v>
      </c>
      <c r="AX60" s="47" t="s">
        <v>260</v>
      </c>
      <c r="AY60" s="47" t="s">
        <v>260</v>
      </c>
      <c r="AZ60" s="47" t="s">
        <v>260</v>
      </c>
    </row>
    <row r="61" spans="1:52">
      <c r="G61" s="46" t="s">
        <v>255</v>
      </c>
      <c r="H61" s="46">
        <f>SUM(H54:H60)</f>
        <v>43</v>
      </c>
      <c r="J61" s="46" t="s">
        <v>255</v>
      </c>
      <c r="K61" s="46">
        <f>SUM(K54:K60)</f>
        <v>43</v>
      </c>
      <c r="M61" s="47" t="s">
        <v>260</v>
      </c>
      <c r="N61" s="47" t="s">
        <v>260</v>
      </c>
      <c r="O61" s="47" t="s">
        <v>260</v>
      </c>
      <c r="P61" s="47" t="s">
        <v>260</v>
      </c>
      <c r="Q61" s="47" t="s">
        <v>260</v>
      </c>
      <c r="R61" s="47" t="s">
        <v>260</v>
      </c>
      <c r="S61"/>
      <c r="T61" s="46" t="s">
        <v>255</v>
      </c>
      <c r="U61" s="46">
        <f>SUM(U54:U60)</f>
        <v>43</v>
      </c>
      <c r="V61" s="46">
        <f>SUM(V54:V60)</f>
        <v>43</v>
      </c>
      <c r="W61" s="46">
        <f>SUM(W54:W60)</f>
        <v>43</v>
      </c>
      <c r="X61" s="46">
        <f>SUM(X54:X60)</f>
        <v>43</v>
      </c>
      <c r="Y61" s="46">
        <f>SUM(Y54:Y60)</f>
        <v>43</v>
      </c>
      <c r="AA61" s="46" t="s">
        <v>255</v>
      </c>
      <c r="AB61" s="46">
        <f>SUM(AB54:AB60)</f>
        <v>43</v>
      </c>
      <c r="AC61" s="46">
        <f>SUM(AC54:AC60)</f>
        <v>43</v>
      </c>
      <c r="AD61" s="46">
        <f>SUM(AD54:AD60)</f>
        <v>43</v>
      </c>
      <c r="AE61" s="46">
        <f>SUM(AE54:AE60)</f>
        <v>43</v>
      </c>
      <c r="AF61" s="46">
        <f>SUM(AF54:AF60)</f>
        <v>43</v>
      </c>
      <c r="AH61" s="46" t="s">
        <v>255</v>
      </c>
      <c r="AI61" s="46">
        <f>SUM(AI54:AI60)</f>
        <v>43</v>
      </c>
      <c r="AJ61" s="46">
        <f>SUM(AJ54:AJ60)</f>
        <v>43</v>
      </c>
      <c r="AK61" s="46">
        <f>SUM(AK54:AK60)</f>
        <v>43</v>
      </c>
      <c r="AM61" s="46" t="s">
        <v>255</v>
      </c>
      <c r="AN61" s="46">
        <f>SUM(AN54:AN60)</f>
        <v>43</v>
      </c>
      <c r="AO61" s="46">
        <f>SUM(AO54:AO60)</f>
        <v>43</v>
      </c>
      <c r="AP61" s="46">
        <f>SUM(AP54:AP60)</f>
        <v>43</v>
      </c>
      <c r="AR61" s="44" t="s">
        <v>233</v>
      </c>
      <c r="AS61" s="48">
        <f>AS55/COUNTA($B$3:$B$45)</f>
        <v>0.13953488372093</v>
      </c>
      <c r="AT61" s="48">
        <f>AT55/COUNTA($B$3:$B$45)</f>
        <v>0.0465116279069767</v>
      </c>
      <c r="AU61" s="48">
        <f>AU55/COUNTA($B$3:$B$45)</f>
        <v>0</v>
      </c>
      <c r="AW61" s="44" t="s">
        <v>228</v>
      </c>
      <c r="AX61" s="48">
        <f>AX54/COUNTA($B$3:$B$45)</f>
        <v>0.441860465116279</v>
      </c>
      <c r="AY61" s="48">
        <f>AY54/COUNTA($B$3:$B$45)</f>
        <v>0.813953488372093</v>
      </c>
      <c r="AZ61" s="48">
        <f>AZ54/COUNTA($B$3:$B$45)</f>
        <v>1</v>
      </c>
    </row>
    <row r="62" ht="26" spans="1:52">
      <c r="G62" s="47" t="s">
        <v>260</v>
      </c>
      <c r="H62" s="47" t="s">
        <v>260</v>
      </c>
      <c r="J62" s="47" t="s">
        <v>260</v>
      </c>
      <c r="K62" s="47" t="s">
        <v>260</v>
      </c>
      <c r="M62" s="44" t="s">
        <v>228</v>
      </c>
      <c r="N62" s="48">
        <f t="shared" ref="N62:N67" si="0">N54/COUNTA($B$3:$B$45)</f>
        <v>0</v>
      </c>
      <c r="O62" s="48">
        <f t="shared" ref="O62:O67" si="1">O54/COUNTA($B$3:$B$45)</f>
        <v>0</v>
      </c>
      <c r="P62" s="48">
        <f t="shared" ref="P62:P67" si="2">P54/COUNTA($B$3:$B$45)</f>
        <v>0</v>
      </c>
      <c r="Q62" s="48">
        <f t="shared" ref="Q62:Q67" si="3">Q54/COUNTA($B$3:$B$45)</f>
        <v>0.0697674418604651</v>
      </c>
      <c r="R62" s="48">
        <f t="shared" ref="R62:R67" si="4">R54/COUNTA($B$3:$B$45)</f>
        <v>0.348837209302326</v>
      </c>
      <c r="T62" s="47" t="s">
        <v>260</v>
      </c>
      <c r="U62" s="47" t="s">
        <v>260</v>
      </c>
      <c r="V62" s="47" t="s">
        <v>260</v>
      </c>
      <c r="W62" s="47" t="s">
        <v>260</v>
      </c>
      <c r="X62" s="47" t="s">
        <v>260</v>
      </c>
      <c r="Y62" s="47" t="s">
        <v>260</v>
      </c>
      <c r="Z62"/>
      <c r="AA62" s="47" t="s">
        <v>260</v>
      </c>
      <c r="AB62" s="47" t="s">
        <v>260</v>
      </c>
      <c r="AC62" s="47" t="s">
        <v>260</v>
      </c>
      <c r="AD62" s="47" t="s">
        <v>260</v>
      </c>
      <c r="AE62" s="47" t="s">
        <v>260</v>
      </c>
      <c r="AF62" s="47" t="s">
        <v>260</v>
      </c>
      <c r="AG62"/>
      <c r="AH62" s="47" t="s">
        <v>260</v>
      </c>
      <c r="AI62" s="47" t="s">
        <v>260</v>
      </c>
      <c r="AJ62" s="47" t="s">
        <v>260</v>
      </c>
      <c r="AK62" s="47" t="s">
        <v>260</v>
      </c>
      <c r="AL62"/>
      <c r="AM62" s="47" t="s">
        <v>260</v>
      </c>
      <c r="AN62" s="47" t="s">
        <v>260</v>
      </c>
      <c r="AO62" s="47" t="s">
        <v>260</v>
      </c>
      <c r="AP62" s="47" t="s">
        <v>260</v>
      </c>
      <c r="AQ62"/>
      <c r="AR62" s="44" t="s">
        <v>241</v>
      </c>
      <c r="AS62" s="48">
        <f>AS56/COUNTA($B$3:$B$45)</f>
        <v>0.27906976744186</v>
      </c>
      <c r="AT62" s="48">
        <f>AT56/COUNTA($B$3:$B$45)</f>
        <v>0.116279069767442</v>
      </c>
      <c r="AU62" s="48">
        <f>AU56/COUNTA($B$3:$B$45)</f>
        <v>0</v>
      </c>
      <c r="AW62" s="44" t="s">
        <v>234</v>
      </c>
      <c r="AX62" s="48">
        <f>AX55/COUNTA($B$3:$B$45)</f>
        <v>0.0697674418604651</v>
      </c>
      <c r="AY62" s="48">
        <f>AY55/COUNTA($B$3:$B$45)</f>
        <v>0.0232558139534884</v>
      </c>
      <c r="AZ62" s="48">
        <f>AZ55/COUNTA($B$3:$B$45)</f>
        <v>0</v>
      </c>
    </row>
    <row r="63" ht="26" spans="1:52">
      <c r="G63" s="44" t="s">
        <v>228</v>
      </c>
      <c r="H63" s="48">
        <f t="shared" ref="H63:H69" si="5">H54/COUNTA($B$3:$B$45)</f>
        <v>0.0697674418604651</v>
      </c>
      <c r="J63" s="44" t="s">
        <v>228</v>
      </c>
      <c r="K63" s="48">
        <f t="shared" ref="K63:K69" si="6">K54/COUNTA($B$3:$B$45)</f>
        <v>0.0930232558139535</v>
      </c>
      <c r="M63" s="44" t="s">
        <v>231</v>
      </c>
      <c r="N63" s="48">
        <f t="shared" si="0"/>
        <v>0.27906976744186</v>
      </c>
      <c r="O63" s="48">
        <f t="shared" si="1"/>
        <v>0.302325581395349</v>
      </c>
      <c r="P63" s="48">
        <f t="shared" si="2"/>
        <v>0.441860465116279</v>
      </c>
      <c r="Q63" s="48">
        <f t="shared" si="3"/>
        <v>0.395348837209302</v>
      </c>
      <c r="R63" s="48">
        <f t="shared" si="4"/>
        <v>0.232558139534884</v>
      </c>
      <c r="T63" s="44" t="s">
        <v>228</v>
      </c>
      <c r="U63" s="48">
        <f t="shared" ref="U63:U69" si="7">U54/COUNTA($B$3:$B$45)</f>
        <v>0</v>
      </c>
      <c r="V63" s="48">
        <f t="shared" ref="V63:V69" si="8">V54/COUNTA($B$3:$B$45)</f>
        <v>0</v>
      </c>
      <c r="W63" s="48">
        <f t="shared" ref="W63:W69" si="9">W54/COUNTA($B$3:$B$45)</f>
        <v>0</v>
      </c>
      <c r="X63" s="48">
        <f t="shared" ref="X63:X69" si="10">X54/COUNTA($B$3:$B$45)</f>
        <v>0.0465116279069767</v>
      </c>
      <c r="Y63" s="48">
        <f t="shared" ref="Y63:Y69" si="11">Y54/COUNTA($B$3:$B$45)</f>
        <v>0.348837209302326</v>
      </c>
      <c r="AA63" s="44" t="s">
        <v>228</v>
      </c>
      <c r="AB63" s="48">
        <f t="shared" ref="AB63:AB69" si="12">AB54/COUNTA($B$3:$B$45)</f>
        <v>0</v>
      </c>
      <c r="AC63" s="48">
        <f t="shared" ref="AC63:AC69" si="13">AC54/COUNTA($B$3:$B$45)</f>
        <v>0</v>
      </c>
      <c r="AD63" s="48">
        <f t="shared" ref="AD63:AD69" si="14">AD54/COUNTA($B$3:$B$45)</f>
        <v>0</v>
      </c>
      <c r="AE63" s="48">
        <f t="shared" ref="AE63:AE69" si="15">AE54/COUNTA($B$3:$B$45)</f>
        <v>0.0465116279069767</v>
      </c>
      <c r="AF63" s="48">
        <f t="shared" ref="AF63:AF69" si="16">AF54/COUNTA($B$3:$B$45)</f>
        <v>0.348837209302326</v>
      </c>
      <c r="AH63" s="44" t="s">
        <v>228</v>
      </c>
      <c r="AI63" s="48">
        <f t="shared" ref="AI63:AI69" si="17">AI54/COUNTA($B$3:$B$45)</f>
        <v>0.162790697674419</v>
      </c>
      <c r="AJ63" s="48">
        <f t="shared" ref="AJ63:AJ69" si="18">AJ54/COUNTA($B$3:$B$45)</f>
        <v>0.720930232558139</v>
      </c>
      <c r="AK63" s="48">
        <f t="shared" ref="AK63:AK69" si="19">AK54/COUNTA($B$3:$B$45)</f>
        <v>0.976744186046512</v>
      </c>
      <c r="AM63" s="44" t="s">
        <v>228</v>
      </c>
      <c r="AN63" s="48">
        <f t="shared" ref="AN63:AN69" si="20">AN54/COUNTA($B$3:$B$45)</f>
        <v>0</v>
      </c>
      <c r="AO63" s="48">
        <f t="shared" ref="AO63:AO69" si="21">AO54/COUNTA($B$3:$B$45)</f>
        <v>0</v>
      </c>
      <c r="AP63" s="48">
        <f t="shared" ref="AP63:AP69" si="22">AP54/COUNTA($B$3:$B$45)</f>
        <v>0</v>
      </c>
      <c r="AR63" s="44" t="s">
        <v>248</v>
      </c>
      <c r="AS63" s="48">
        <f>AS57/COUNTA($B$3:$B$45)</f>
        <v>0.116279069767442</v>
      </c>
      <c r="AT63" s="48">
        <f>AT57/COUNTA($B$3:$B$45)</f>
        <v>0.0232558139534884</v>
      </c>
      <c r="AU63" s="48">
        <f>AU57/COUNTA($B$3:$B$45)</f>
        <v>0</v>
      </c>
      <c r="AW63" s="44" t="s">
        <v>242</v>
      </c>
      <c r="AX63" s="48">
        <f>AX56/COUNTA($B$3:$B$45)</f>
        <v>0.13953488372093</v>
      </c>
      <c r="AY63" s="48">
        <f>AY56/COUNTA($B$3:$B$45)</f>
        <v>0.0465116279069767</v>
      </c>
      <c r="AZ63" s="48">
        <f>AZ56/COUNTA($B$3:$B$45)</f>
        <v>0</v>
      </c>
    </row>
    <row r="64" ht="26" spans="1:52">
      <c r="G64" s="44" t="s">
        <v>230</v>
      </c>
      <c r="H64" s="48">
        <f t="shared" si="5"/>
        <v>0.0465116279069767</v>
      </c>
      <c r="J64" s="44" t="s">
        <v>230</v>
      </c>
      <c r="K64" s="48">
        <f t="shared" si="6"/>
        <v>0.186046511627907</v>
      </c>
      <c r="M64" s="44" t="s">
        <v>237</v>
      </c>
      <c r="N64" s="48">
        <f t="shared" si="0"/>
        <v>0.348837209302326</v>
      </c>
      <c r="O64" s="48">
        <f t="shared" si="1"/>
        <v>0.372093023255814</v>
      </c>
      <c r="P64" s="48">
        <f t="shared" si="2"/>
        <v>0.255813953488372</v>
      </c>
      <c r="Q64" s="48">
        <f t="shared" si="3"/>
        <v>0.302325581395349</v>
      </c>
      <c r="R64" s="48">
        <f t="shared" si="4"/>
        <v>0.209302325581395</v>
      </c>
      <c r="T64" s="44" t="s">
        <v>232</v>
      </c>
      <c r="U64" s="48">
        <f t="shared" si="7"/>
        <v>0.0465116279069767</v>
      </c>
      <c r="V64" s="48">
        <f t="shared" si="8"/>
        <v>0.0697674418604651</v>
      </c>
      <c r="W64" s="48">
        <f t="shared" si="9"/>
        <v>0.0930232558139535</v>
      </c>
      <c r="X64" s="48">
        <f t="shared" si="10"/>
        <v>0.186046511627907</v>
      </c>
      <c r="Y64" s="48">
        <f t="shared" si="11"/>
        <v>0.116279069767442</v>
      </c>
      <c r="AA64" s="44" t="s">
        <v>232</v>
      </c>
      <c r="AB64" s="48">
        <f t="shared" si="12"/>
        <v>0.0465116279069767</v>
      </c>
      <c r="AC64" s="48">
        <f t="shared" si="13"/>
        <v>0.0697674418604651</v>
      </c>
      <c r="AD64" s="48">
        <f t="shared" si="14"/>
        <v>0.0930232558139535</v>
      </c>
      <c r="AE64" s="48">
        <f t="shared" si="15"/>
        <v>0.186046511627907</v>
      </c>
      <c r="AF64" s="48">
        <f t="shared" si="16"/>
        <v>0.116279069767442</v>
      </c>
      <c r="AH64" s="44" t="s">
        <v>232</v>
      </c>
      <c r="AI64" s="48">
        <f t="shared" si="17"/>
        <v>0.0465116279069767</v>
      </c>
      <c r="AJ64" s="48">
        <f t="shared" si="18"/>
        <v>0.0232558139534884</v>
      </c>
      <c r="AK64" s="48">
        <f t="shared" si="19"/>
        <v>0.0232558139534884</v>
      </c>
      <c r="AM64" s="44" t="s">
        <v>230</v>
      </c>
      <c r="AN64" s="48">
        <f t="shared" si="20"/>
        <v>0.0465116279069767</v>
      </c>
      <c r="AO64" s="48">
        <f t="shared" si="21"/>
        <v>0.0697674418604651</v>
      </c>
      <c r="AP64" s="48">
        <f t="shared" si="22"/>
        <v>0.0930232558139535</v>
      </c>
      <c r="AR64" s="46" t="s">
        <v>255</v>
      </c>
      <c r="AS64" s="49">
        <f>SUM(AS60:AS63)</f>
        <v>1</v>
      </c>
      <c r="AT64" s="49">
        <f>SUM(AT60:AT63)</f>
        <v>1</v>
      </c>
      <c r="AU64" s="49">
        <f>SUM(AU60:AU63)</f>
        <v>1</v>
      </c>
      <c r="AW64" s="44" t="s">
        <v>249</v>
      </c>
      <c r="AX64" s="48">
        <f>AX57/COUNTA($B$3:$B$45)</f>
        <v>0.162790697674419</v>
      </c>
      <c r="AY64" s="48">
        <f>AY57/COUNTA($B$3:$B$45)</f>
        <v>0.0930232558139535</v>
      </c>
      <c r="AZ64" s="48">
        <f>AZ57/COUNTA($B$3:$B$45)</f>
        <v>0</v>
      </c>
    </row>
    <row r="65" ht="26" spans="7:52">
      <c r="G65" s="44" t="s">
        <v>236</v>
      </c>
      <c r="H65" s="48">
        <f t="shared" si="5"/>
        <v>0.209302325581395</v>
      </c>
      <c r="J65" s="44" t="s">
        <v>236</v>
      </c>
      <c r="K65" s="48">
        <f t="shared" si="6"/>
        <v>0.0697674418604651</v>
      </c>
      <c r="M65" s="44" t="s">
        <v>244</v>
      </c>
      <c r="N65" s="48">
        <f t="shared" si="0"/>
        <v>0.116279069767442</v>
      </c>
      <c r="O65" s="48">
        <f t="shared" si="1"/>
        <v>0.116279069767442</v>
      </c>
      <c r="P65" s="48">
        <f t="shared" si="2"/>
        <v>0.116279069767442</v>
      </c>
      <c r="Q65" s="48">
        <f t="shared" si="3"/>
        <v>0.0930232558139535</v>
      </c>
      <c r="R65" s="48">
        <f t="shared" si="4"/>
        <v>0.0930232558139535</v>
      </c>
      <c r="T65" s="44" t="s">
        <v>238</v>
      </c>
      <c r="U65" s="48">
        <f t="shared" si="7"/>
        <v>0.232558139534884</v>
      </c>
      <c r="V65" s="48">
        <f t="shared" si="8"/>
        <v>0.302325581395349</v>
      </c>
      <c r="W65" s="48">
        <f t="shared" si="9"/>
        <v>0.372093023255814</v>
      </c>
      <c r="X65" s="48">
        <f t="shared" si="10"/>
        <v>0.302325581395349</v>
      </c>
      <c r="Y65" s="48">
        <f t="shared" si="11"/>
        <v>0.209302325581395</v>
      </c>
      <c r="AA65" s="44" t="s">
        <v>238</v>
      </c>
      <c r="AB65" s="48">
        <f t="shared" si="12"/>
        <v>0.255813953488372</v>
      </c>
      <c r="AC65" s="48">
        <f t="shared" si="13"/>
        <v>0.302325581395349</v>
      </c>
      <c r="AD65" s="48">
        <f t="shared" si="14"/>
        <v>0.372093023255814</v>
      </c>
      <c r="AE65" s="48">
        <f t="shared" si="15"/>
        <v>0.302325581395349</v>
      </c>
      <c r="AF65" s="48">
        <f t="shared" si="16"/>
        <v>0.209302325581395</v>
      </c>
      <c r="AH65" s="44" t="s">
        <v>239</v>
      </c>
      <c r="AI65" s="48">
        <f t="shared" si="17"/>
        <v>0.13953488372093</v>
      </c>
      <c r="AJ65" s="48">
        <f t="shared" si="18"/>
        <v>0.0465116279069767</v>
      </c>
      <c r="AK65" s="48">
        <f t="shared" si="19"/>
        <v>0</v>
      </c>
      <c r="AM65" s="44" t="s">
        <v>240</v>
      </c>
      <c r="AN65" s="48">
        <f t="shared" si="20"/>
        <v>0.13953488372093</v>
      </c>
      <c r="AO65" s="48">
        <f t="shared" si="21"/>
        <v>0.186046511627907</v>
      </c>
      <c r="AP65" s="48">
        <f t="shared" si="22"/>
        <v>0.116279069767442</v>
      </c>
      <c r="AW65" s="44" t="s">
        <v>256</v>
      </c>
      <c r="AX65" s="48">
        <f>AX58/COUNTA($B$3:$B$45)</f>
        <v>0.186046511627907</v>
      </c>
      <c r="AY65" s="48">
        <f>AY58/COUNTA($B$3:$B$45)</f>
        <v>0.0232558139534884</v>
      </c>
      <c r="AZ65" s="48">
        <f>AZ58/COUNTA($B$3:$B$45)</f>
        <v>0</v>
      </c>
    </row>
    <row r="66" ht="26" spans="7:52">
      <c r="G66" s="44" t="s">
        <v>243</v>
      </c>
      <c r="H66" s="48">
        <f t="shared" si="5"/>
        <v>0.162790697674419</v>
      </c>
      <c r="J66" s="44" t="s">
        <v>243</v>
      </c>
      <c r="K66" s="48">
        <f t="shared" si="6"/>
        <v>0.116279069767442</v>
      </c>
      <c r="M66" s="44" t="s">
        <v>251</v>
      </c>
      <c r="N66" s="48">
        <f t="shared" si="0"/>
        <v>0.232558139534884</v>
      </c>
      <c r="O66" s="48">
        <f t="shared" si="1"/>
        <v>0.209302325581395</v>
      </c>
      <c r="P66" s="48">
        <f t="shared" si="2"/>
        <v>0.186046511627907</v>
      </c>
      <c r="Q66" s="48">
        <f t="shared" si="3"/>
        <v>0.13953488372093</v>
      </c>
      <c r="R66" s="48">
        <f t="shared" si="4"/>
        <v>0.116279069767442</v>
      </c>
      <c r="T66" s="44" t="s">
        <v>245</v>
      </c>
      <c r="U66" s="48">
        <f t="shared" si="7"/>
        <v>0.348837209302326</v>
      </c>
      <c r="V66" s="48">
        <f t="shared" si="8"/>
        <v>0.302325581395349</v>
      </c>
      <c r="W66" s="48">
        <f t="shared" si="9"/>
        <v>0.27906976744186</v>
      </c>
      <c r="X66" s="48">
        <f t="shared" si="10"/>
        <v>0.302325581395349</v>
      </c>
      <c r="Y66" s="48">
        <f t="shared" si="11"/>
        <v>0.186046511627907</v>
      </c>
      <c r="AA66" s="44" t="s">
        <v>245</v>
      </c>
      <c r="AB66" s="48">
        <f t="shared" si="12"/>
        <v>0.325581395348837</v>
      </c>
      <c r="AC66" s="48">
        <f t="shared" si="13"/>
        <v>0.302325581395349</v>
      </c>
      <c r="AD66" s="48">
        <f t="shared" si="14"/>
        <v>0.27906976744186</v>
      </c>
      <c r="AE66" s="48">
        <f t="shared" si="15"/>
        <v>0.302325581395349</v>
      </c>
      <c r="AF66" s="48">
        <f t="shared" si="16"/>
        <v>0.186046511627907</v>
      </c>
      <c r="AH66" s="44" t="s">
        <v>246</v>
      </c>
      <c r="AI66" s="48">
        <f t="shared" si="17"/>
        <v>0.232558139534884</v>
      </c>
      <c r="AJ66" s="48">
        <f t="shared" si="18"/>
        <v>0.13953488372093</v>
      </c>
      <c r="AK66" s="48">
        <f t="shared" si="19"/>
        <v>0</v>
      </c>
      <c r="AM66" s="44" t="s">
        <v>247</v>
      </c>
      <c r="AN66" s="48">
        <f t="shared" si="20"/>
        <v>0.209302325581395</v>
      </c>
      <c r="AO66" s="48">
        <f t="shared" si="21"/>
        <v>0.209302325581395</v>
      </c>
      <c r="AP66" s="48">
        <f t="shared" si="22"/>
        <v>0.232558139534884</v>
      </c>
      <c r="AW66" s="46" t="s">
        <v>255</v>
      </c>
      <c r="AX66" s="49">
        <f>SUM(AX61:AX65)</f>
        <v>1</v>
      </c>
      <c r="AY66" s="49">
        <f>SUM(AY61:AY65)</f>
        <v>1</v>
      </c>
      <c r="AZ66" s="49">
        <f>SUM(AZ61:AZ65)</f>
        <v>1</v>
      </c>
    </row>
    <row r="67" ht="26" spans="7:52">
      <c r="G67" s="44" t="s">
        <v>250</v>
      </c>
      <c r="H67" s="48">
        <f t="shared" si="5"/>
        <v>0.13953488372093</v>
      </c>
      <c r="J67" s="44" t="s">
        <v>250</v>
      </c>
      <c r="K67" s="48">
        <f t="shared" si="6"/>
        <v>0.0465116279069767</v>
      </c>
      <c r="M67" s="44" t="s">
        <v>257</v>
      </c>
      <c r="N67" s="48">
        <f t="shared" si="0"/>
        <v>0.0232558139534884</v>
      </c>
      <c r="O67" s="48">
        <f t="shared" si="1"/>
        <v>0</v>
      </c>
      <c r="P67" s="48">
        <f t="shared" si="2"/>
        <v>0</v>
      </c>
      <c r="Q67" s="48">
        <f t="shared" si="3"/>
        <v>0</v>
      </c>
      <c r="R67" s="48">
        <f t="shared" si="4"/>
        <v>0</v>
      </c>
      <c r="T67" s="44" t="s">
        <v>252</v>
      </c>
      <c r="U67" s="48">
        <f t="shared" si="7"/>
        <v>0.13953488372093</v>
      </c>
      <c r="V67" s="48">
        <f t="shared" si="8"/>
        <v>0.162790697674419</v>
      </c>
      <c r="W67" s="48">
        <f t="shared" si="9"/>
        <v>0.0930232558139535</v>
      </c>
      <c r="X67" s="48">
        <f t="shared" si="10"/>
        <v>0.0697674418604651</v>
      </c>
      <c r="Y67" s="48">
        <f t="shared" si="11"/>
        <v>0.0697674418604651</v>
      </c>
      <c r="AA67" s="44" t="s">
        <v>252</v>
      </c>
      <c r="AB67" s="48">
        <f t="shared" si="12"/>
        <v>0.162790697674419</v>
      </c>
      <c r="AC67" s="48">
        <f t="shared" si="13"/>
        <v>0.162790697674419</v>
      </c>
      <c r="AD67" s="48">
        <f t="shared" si="14"/>
        <v>0.0930232558139535</v>
      </c>
      <c r="AE67" s="48">
        <f t="shared" si="15"/>
        <v>0.0697674418604651</v>
      </c>
      <c r="AF67" s="48">
        <f t="shared" si="16"/>
        <v>0.0697674418604651</v>
      </c>
      <c r="AH67" s="44" t="s">
        <v>253</v>
      </c>
      <c r="AI67" s="48">
        <f t="shared" si="17"/>
        <v>0.302325581395349</v>
      </c>
      <c r="AJ67" s="48">
        <f t="shared" si="18"/>
        <v>0.0465116279069767</v>
      </c>
      <c r="AK67" s="48">
        <f t="shared" si="19"/>
        <v>0</v>
      </c>
      <c r="AM67" s="44" t="s">
        <v>254</v>
      </c>
      <c r="AN67" s="48">
        <f t="shared" si="20"/>
        <v>0.302325581395349</v>
      </c>
      <c r="AO67" s="48">
        <f t="shared" si="21"/>
        <v>0.232558139534884</v>
      </c>
      <c r="AP67" s="48">
        <f t="shared" si="22"/>
        <v>0.27906976744186</v>
      </c>
      <c r="AQ67" s="50"/>
    </row>
    <row r="68" ht="26" spans="7:52">
      <c r="G68" s="44" t="s">
        <v>242</v>
      </c>
      <c r="H68" s="48">
        <f t="shared" si="5"/>
        <v>0.255813953488372</v>
      </c>
      <c r="J68" s="44" t="s">
        <v>242</v>
      </c>
      <c r="K68" s="48">
        <f t="shared" si="6"/>
        <v>0.162790697674419</v>
      </c>
      <c r="M68" s="46" t="s">
        <v>255</v>
      </c>
      <c r="N68" s="49">
        <f>SUM(N62:N67)</f>
        <v>1</v>
      </c>
      <c r="O68" s="49">
        <f>SUM(O62:O67)</f>
        <v>1</v>
      </c>
      <c r="P68" s="49">
        <f>SUM(P62:P67)</f>
        <v>1</v>
      </c>
      <c r="Q68" s="49">
        <f>SUM(Q62:Q67)</f>
        <v>1</v>
      </c>
      <c r="R68" s="49">
        <f>SUM(R62:R67)</f>
        <v>1</v>
      </c>
      <c r="T68" s="44" t="s">
        <v>237</v>
      </c>
      <c r="U68" s="48">
        <f t="shared" si="7"/>
        <v>0.186046511627907</v>
      </c>
      <c r="V68" s="48">
        <f t="shared" si="8"/>
        <v>0.13953488372093</v>
      </c>
      <c r="W68" s="48">
        <f t="shared" si="9"/>
        <v>0.13953488372093</v>
      </c>
      <c r="X68" s="48">
        <f t="shared" si="10"/>
        <v>0.0697674418604651</v>
      </c>
      <c r="Y68" s="48">
        <f t="shared" si="11"/>
        <v>0.0465116279069767</v>
      </c>
      <c r="AA68" s="44" t="s">
        <v>237</v>
      </c>
      <c r="AB68" s="48">
        <f t="shared" si="12"/>
        <v>0.162790697674419</v>
      </c>
      <c r="AC68" s="48">
        <f t="shared" si="13"/>
        <v>0.13953488372093</v>
      </c>
      <c r="AD68" s="48">
        <f t="shared" si="14"/>
        <v>0.13953488372093</v>
      </c>
      <c r="AE68" s="48">
        <f t="shared" si="15"/>
        <v>0.0697674418604651</v>
      </c>
      <c r="AF68" s="48">
        <f t="shared" si="16"/>
        <v>0.0465116279069767</v>
      </c>
      <c r="AH68" s="44" t="s">
        <v>258</v>
      </c>
      <c r="AI68" s="48">
        <f t="shared" si="17"/>
        <v>0.0465116279069767</v>
      </c>
      <c r="AJ68" s="48">
        <f t="shared" si="18"/>
        <v>0</v>
      </c>
      <c r="AK68" s="48">
        <f t="shared" si="19"/>
        <v>0</v>
      </c>
      <c r="AM68" s="44" t="s">
        <v>259</v>
      </c>
      <c r="AN68" s="48">
        <f t="shared" si="20"/>
        <v>0.0697674418604651</v>
      </c>
      <c r="AO68" s="48">
        <f t="shared" si="21"/>
        <v>0.116279069767442</v>
      </c>
      <c r="AP68" s="48">
        <f t="shared" si="22"/>
        <v>0.162790697674419</v>
      </c>
      <c r="AQ68" s="50"/>
    </row>
    <row r="69" ht="26" spans="7:52">
      <c r="G69" s="44" t="s">
        <v>261</v>
      </c>
      <c r="H69" s="48">
        <f t="shared" si="5"/>
        <v>0.116279069767442</v>
      </c>
      <c r="J69" s="44" t="s">
        <v>261</v>
      </c>
      <c r="K69" s="48">
        <f t="shared" si="6"/>
        <v>0.325581395348837</v>
      </c>
      <c r="T69" s="44" t="s">
        <v>262</v>
      </c>
      <c r="U69" s="48">
        <f t="shared" si="7"/>
        <v>0.0465116279069767</v>
      </c>
      <c r="V69" s="48">
        <f t="shared" si="8"/>
        <v>0.0232558139534884</v>
      </c>
      <c r="W69" s="48">
        <f t="shared" si="9"/>
        <v>0.0232558139534884</v>
      </c>
      <c r="X69" s="48">
        <f t="shared" si="10"/>
        <v>0.0232558139534884</v>
      </c>
      <c r="Y69" s="48">
        <f t="shared" si="11"/>
        <v>0.0232558139534884</v>
      </c>
      <c r="AA69" s="44" t="s">
        <v>262</v>
      </c>
      <c r="AB69" s="48">
        <f t="shared" si="12"/>
        <v>0.0465116279069767</v>
      </c>
      <c r="AC69" s="48">
        <f t="shared" si="13"/>
        <v>0.0232558139534884</v>
      </c>
      <c r="AD69" s="48">
        <f t="shared" si="14"/>
        <v>0.0232558139534884</v>
      </c>
      <c r="AE69" s="48">
        <f t="shared" si="15"/>
        <v>0.0232558139534884</v>
      </c>
      <c r="AF69" s="48">
        <f t="shared" si="16"/>
        <v>0.0232558139534884</v>
      </c>
      <c r="AH69" s="44" t="s">
        <v>263</v>
      </c>
      <c r="AI69" s="48">
        <f t="shared" si="17"/>
        <v>0.0697674418604651</v>
      </c>
      <c r="AJ69" s="48">
        <f t="shared" si="18"/>
        <v>0.0232558139534884</v>
      </c>
      <c r="AK69" s="48">
        <f t="shared" si="19"/>
        <v>0</v>
      </c>
      <c r="AM69" s="44" t="s">
        <v>264</v>
      </c>
      <c r="AN69" s="48">
        <f t="shared" si="20"/>
        <v>0.232558139534884</v>
      </c>
      <c r="AO69" s="48">
        <f t="shared" si="21"/>
        <v>0.186046511627907</v>
      </c>
      <c r="AP69" s="48">
        <f t="shared" si="22"/>
        <v>0.116279069767442</v>
      </c>
      <c r="AQ69" s="50"/>
    </row>
    <row r="70" spans="7:52">
      <c r="G70" s="46" t="s">
        <v>255</v>
      </c>
      <c r="H70" s="49">
        <f>SUM(H63:H69)</f>
        <v>1</v>
      </c>
      <c r="J70" s="46" t="s">
        <v>255</v>
      </c>
      <c r="K70" s="49">
        <f>SUM(K63:K69)</f>
        <v>1</v>
      </c>
      <c r="T70" s="46" t="s">
        <v>255</v>
      </c>
      <c r="U70" s="49">
        <f>SUM(U63:U69)</f>
        <v>1</v>
      </c>
      <c r="V70" s="49">
        <f>SUM(V63:V69)</f>
        <v>1</v>
      </c>
      <c r="W70" s="49">
        <f>SUM(W63:W69)</f>
        <v>1</v>
      </c>
      <c r="X70" s="49">
        <f>SUM(X63:X69)</f>
        <v>1</v>
      </c>
      <c r="Y70" s="49">
        <f>SUM(Y63:Y69)</f>
        <v>1</v>
      </c>
      <c r="AA70" s="46" t="s">
        <v>255</v>
      </c>
      <c r="AB70" s="49">
        <f>SUM(AB63:AB69)</f>
        <v>1</v>
      </c>
      <c r="AC70" s="49">
        <f>SUM(AC63:AC69)</f>
        <v>1</v>
      </c>
      <c r="AD70" s="49">
        <f>SUM(AD63:AD69)</f>
        <v>1</v>
      </c>
      <c r="AE70" s="49">
        <f>SUM(AE63:AE69)</f>
        <v>1</v>
      </c>
      <c r="AF70" s="49">
        <f>SUM(AF63:AF69)</f>
        <v>1</v>
      </c>
      <c r="AH70" s="46" t="s">
        <v>255</v>
      </c>
      <c r="AI70" s="49">
        <f>SUM(AI63:AI69)</f>
        <v>1</v>
      </c>
      <c r="AJ70" s="49">
        <f>SUM(AJ63:AJ69)</f>
        <v>1</v>
      </c>
      <c r="AK70" s="49">
        <f>SUM(AK63:AK69)</f>
        <v>1</v>
      </c>
      <c r="AM70" s="46" t="s">
        <v>255</v>
      </c>
      <c r="AN70" s="49">
        <f>SUM(AN63:AN69)</f>
        <v>1</v>
      </c>
      <c r="AO70" s="49">
        <f>SUM(AO63:AO69)</f>
        <v>1</v>
      </c>
      <c r="AP70" s="49">
        <f>SUM(AP63:AP69)</f>
        <v>1</v>
      </c>
      <c r="AQ70" s="51"/>
    </row>
    <row r="71" spans="7:52">
      <c r="AR71" s="50"/>
    </row>
  </sheetData>
  <mergeCells count="16">
    <mergeCell ref="N1:R1"/>
    <mergeCell ref="U1:Y1"/>
    <mergeCell ref="AB1:AF1"/>
    <mergeCell ref="AI1:AK1"/>
    <mergeCell ref="AN1:AP1"/>
    <mergeCell ref="AS1:AU1"/>
    <mergeCell ref="AX1:AZ1"/>
    <mergeCell ref="G52:H52"/>
    <mergeCell ref="J52:K52"/>
    <mergeCell ref="M52:R52"/>
    <mergeCell ref="T52:Y52"/>
    <mergeCell ref="AA52:AF52"/>
    <mergeCell ref="AH52:AK52"/>
    <mergeCell ref="AM52:AP52"/>
    <mergeCell ref="AR52:AU52"/>
    <mergeCell ref="AW52:AZ52"/>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Yasmin</cp:lastModifiedBy>
  <dcterms:created xsi:type="dcterms:W3CDTF">2026-07-15T07:20:00Z</dcterms:created>
  <dcterms:modified xsi:type="dcterms:W3CDTF">2026-07-15T08:36:09Z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38BEB999E3AC4017A1FC0EB3632791BA_11</vt:lpwstr>
  </property>
  <property fmtid="{D5CDD505-2E9C-101B-9397-08002B2CF9AE}" pid="3" name="KSOProductBuildVer">
    <vt:lpwstr>2052-12.1.0.24034</vt:lpwstr>
  </property>
  <property fmtid="{D5CDD505-2E9C-101B-9397-08002B2CF9AE}" pid="4" name="CalculationRule">
    <vt:i4>1</vt:i4>
  </property>
</Properties>
</file>